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hly Goals" sheetId="1" state="visible" r:id="rId1"/>
    <sheet xmlns:r="http://schemas.openxmlformats.org/officeDocument/2006/relationships" name="Weekly Plan" sheetId="2" state="visible" r:id="rId2"/>
    <sheet xmlns:r="http://schemas.openxmlformats.org/officeDocument/2006/relationships" name="Daily Log" sheetId="3" state="visible" r:id="rId3"/>
    <sheet xmlns:r="http://schemas.openxmlformats.org/officeDocument/2006/relationships" name="Barriers" sheetId="4" state="visible" r:id="rId4"/>
    <sheet xmlns:r="http://schemas.openxmlformats.org/officeDocument/2006/relationships" name="Portfolio" sheetId="5" state="visible" r:id="rId5"/>
    <sheet xmlns:r="http://schemas.openxmlformats.org/officeDocument/2006/relationships" name="Visual Board" sheetId="6" state="visible" r:id="rId6"/>
  </sheets>
  <definedNames>
    <definedName name="_xlnm._FilterDatabase" localSheetId="0" hidden="1">'Monthly Goals'!$A$1:$J$1</definedName>
    <definedName name="_xlnm._FilterDatabase" localSheetId="1" hidden="1">'Weekly Plan'!$A$1:$L$1</definedName>
    <definedName name="_xlnm._FilterDatabase" localSheetId="2" hidden="1">'Daily Log'!$A$1:$I$1</definedName>
    <definedName name="_xlnm._FilterDatabase" localSheetId="3" hidden="1">'Barriers'!$A$1:$I$1</definedName>
    <definedName name="_xlnm._FilterDatabase" localSheetId="4" hidden="1">'Portfolio'!$A$1:$F$1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MMMM YYYY"/>
    <numFmt numFmtId="165" formatCode="MM/DD/YYYY"/>
  </numFmts>
  <fonts count="7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color rgb="00000000"/>
      <sz val="10"/>
    </font>
    <font>
      <name val="Arial"/>
      <b val="1"/>
      <sz val="10"/>
    </font>
    <font>
      <name val="Arial"/>
      <b val="1"/>
      <color rgb="00000000"/>
      <sz val="10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D9E2F3"/>
      </patternFill>
    </fill>
  </fills>
  <borders count="3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  <border>
      <top style="double">
        <color rgb="002F5496"/>
      </top>
      <bottom style="double">
        <color rgb="002F5496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164" fontId="2" fillId="3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164" fontId="2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165" fontId="2" fillId="3" borderId="1" applyAlignment="1" pivotButton="0" quotePrefix="0" xfId="0">
      <alignment vertical="top" wrapText="1"/>
    </xf>
    <xf numFmtId="9" fontId="3" fillId="3" borderId="1" applyAlignment="1" pivotButton="0" quotePrefix="0" xfId="0">
      <alignment vertical="top" wrapText="1"/>
    </xf>
    <xf numFmtId="165" fontId="2" fillId="0" borderId="1" applyAlignment="1" pivotButton="0" quotePrefix="0" xfId="0">
      <alignment vertical="top" wrapText="1"/>
    </xf>
    <xf numFmtId="9" fontId="3" fillId="0" borderId="1" applyAlignment="1" pivotButton="0" quotePrefix="0" xfId="0">
      <alignment vertical="top" wrapText="1"/>
    </xf>
    <xf numFmtId="3" fontId="2" fillId="3" borderId="1" applyAlignment="1" pivotButton="0" quotePrefix="0" xfId="0">
      <alignment vertical="top" wrapText="1"/>
    </xf>
    <xf numFmtId="3" fontId="2" fillId="0" borderId="1" applyAlignment="1" pivotButton="0" quotePrefix="0" xfId="0">
      <alignment vertical="top" wrapText="1"/>
    </xf>
    <xf numFmtId="0" fontId="4" fillId="0" borderId="0" applyAlignment="1" pivotButton="0" quotePrefix="0" xfId="0">
      <alignment horizontal="right"/>
    </xf>
    <xf numFmtId="3" fontId="5" fillId="0" borderId="2" pivotButton="0" quotePrefix="0" xfId="0"/>
    <xf numFmtId="164" fontId="2" fillId="3" borderId="1" applyAlignment="1" pivotButton="0" quotePrefix="0" xfId="0">
      <alignment vertical="top" wrapText="1"/>
    </xf>
    <xf numFmtId="1" fontId="0" fillId="0" borderId="0" pivotButton="0" quotePrefix="0" xfId="0"/>
    <xf numFmtId="164" fontId="2" fillId="0" borderId="1" applyAlignment="1" pivotButton="0" quotePrefix="0" xfId="0">
      <alignment vertical="top" wrapText="1"/>
    </xf>
    <xf numFmtId="165" fontId="2" fillId="3" borderId="1" applyAlignment="1" pivotButton="0" quotePrefix="0" xfId="0">
      <alignment vertical="top" wrapText="1"/>
    </xf>
    <xf numFmtId="165" fontId="2" fillId="0" borderId="1" applyAlignment="1" pivotButton="0" quotePrefix="0" xfId="0">
      <alignment vertical="top" wrapText="1"/>
    </xf>
    <xf numFmtId="0" fontId="6" fillId="2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C6EFCE"/>
        </patternFill>
      </fill>
    </dxf>
    <dxf>
      <fill>
        <patternFill patternType="solid">
          <fgColor rgb="00FFC7CE"/>
        </patternFill>
      </fill>
    </dxf>
    <dxf>
      <fill>
        <patternFill patternType="solid">
          <fgColor rgb="00FFEB9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28" customWidth="1" min="3" max="3"/>
    <col width="28" customWidth="1" min="4" max="4"/>
    <col width="24" customWidth="1" min="5" max="5"/>
    <col width="24" customWidth="1" min="6" max="6"/>
    <col width="24" customWidth="1" min="7" max="7"/>
    <col width="28" customWidth="1" min="8" max="8"/>
    <col width="14" customWidth="1" min="9" max="9"/>
    <col width="32" customWidth="1" min="10" max="10"/>
    <col width="16" customWidth="1" min="11" max="11"/>
    <col width="18" customWidth="1" min="12" max="12"/>
    <col width="18" customWidth="1" min="13" max="13"/>
    <col width="18" customWidth="1" min="14" max="14"/>
    <col width="18" customWidth="1" min="15" max="15"/>
    <col width="12" customWidth="1" min="16" max="16"/>
    <col width="18" customWidth="1" min="17" max="17"/>
  </cols>
  <sheetData>
    <row r="1">
      <c r="A1" s="1" t="inlineStr">
        <is>
          <t>Month</t>
        </is>
      </c>
      <c r="B1" s="1" t="inlineStr">
        <is>
          <t>Main Monthly Goal</t>
        </is>
      </c>
      <c r="C1" s="1" t="inlineStr">
        <is>
          <t>Rationale</t>
        </is>
      </c>
      <c r="D1" s="1" t="inlineStr">
        <is>
          <t>Evidence / Proof</t>
        </is>
      </c>
      <c r="E1" s="1" t="inlineStr">
        <is>
          <t>Support Goal 1</t>
        </is>
      </c>
      <c r="F1" s="1" t="inlineStr">
        <is>
          <t>Support Goal 2</t>
        </is>
      </c>
      <c r="G1" s="1" t="inlineStr">
        <is>
          <t>Barriers Anticipated</t>
        </is>
      </c>
      <c r="H1" s="1" t="inlineStr">
        <is>
          <t>Strategies to Overcome</t>
        </is>
      </c>
      <c r="I1" s="1" t="inlineStr">
        <is>
          <t>Result</t>
        </is>
      </c>
      <c r="J1" s="1" t="inlineStr">
        <is>
          <t>Reflection</t>
        </is>
      </c>
      <c r="K1" s="1" t="inlineStr">
        <is>
          <t>S - Specific?</t>
        </is>
      </c>
      <c r="L1" s="1" t="inlineStr">
        <is>
          <t>M - Measurable?</t>
        </is>
      </c>
      <c r="M1" s="1" t="inlineStr">
        <is>
          <t>A - Achievable?</t>
        </is>
      </c>
      <c r="N1" s="1" t="inlineStr">
        <is>
          <t>R - Relevant?</t>
        </is>
      </c>
      <c r="O1" s="1" t="inlineStr">
        <is>
          <t>T - Time-Bound?</t>
        </is>
      </c>
      <c r="P1" s="1" t="inlineStr">
        <is>
          <t>SMART Score</t>
        </is>
      </c>
      <c r="Q1" s="1" t="inlineStr">
        <is>
          <t>SMART Status</t>
        </is>
      </c>
    </row>
    <row r="2">
      <c r="A2" s="14" t="n"/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P2" s="15">
        <f>COUNTIF(K2:O2,"Yes")</f>
        <v/>
      </c>
      <c r="Q2">
        <f>IF(P2=5,"SMART Ready",IF(P2&gt;=3,"Almost There","Revise"))</f>
        <v/>
      </c>
    </row>
    <row r="3">
      <c r="A3" s="16" t="n"/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P3" s="15">
        <f>COUNTIF(K3:O3,"Yes")</f>
        <v/>
      </c>
      <c r="Q3">
        <f>IF(P3=5,"SMART Ready",IF(P3&gt;=3,"Almost There","Revise"))</f>
        <v/>
      </c>
    </row>
    <row r="4">
      <c r="A4" s="14" t="n"/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P4" s="15">
        <f>COUNTIF(K4:O4,"Yes")</f>
        <v/>
      </c>
      <c r="Q4">
        <f>IF(P4=5,"SMART Ready",IF(P4&gt;=3,"Almost There","Revise"))</f>
        <v/>
      </c>
    </row>
    <row r="5">
      <c r="A5" s="16" t="n"/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P5" s="15">
        <f>COUNTIF(K5:O5,"Yes")</f>
        <v/>
      </c>
      <c r="Q5">
        <f>IF(P5=5,"SMART Ready",IF(P5&gt;=3,"Almost There","Revise"))</f>
        <v/>
      </c>
    </row>
    <row r="6">
      <c r="A6" s="14" t="n"/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P6" s="15">
        <f>COUNTIF(K6:O6,"Yes")</f>
        <v/>
      </c>
      <c r="Q6">
        <f>IF(P6=5,"SMART Ready",IF(P6&gt;=3,"Almost There","Revise"))</f>
        <v/>
      </c>
    </row>
    <row r="7">
      <c r="A7" s="16" t="n"/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P7" s="15">
        <f>COUNTIF(K7:O7,"Yes")</f>
        <v/>
      </c>
      <c r="Q7">
        <f>IF(P7=5,"SMART Ready",IF(P7&gt;=3,"Almost There","Revise"))</f>
        <v/>
      </c>
    </row>
    <row r="8">
      <c r="A8" s="14" t="n"/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P8" s="15">
        <f>COUNTIF(K8:O8,"Yes")</f>
        <v/>
      </c>
      <c r="Q8">
        <f>IF(P8=5,"SMART Ready",IF(P8&gt;=3,"Almost There","Revise"))</f>
        <v/>
      </c>
    </row>
    <row r="9">
      <c r="A9" s="16" t="n"/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P9" s="15">
        <f>COUNTIF(K9:O9,"Yes")</f>
        <v/>
      </c>
      <c r="Q9">
        <f>IF(P9=5,"SMART Ready",IF(P9&gt;=3,"Almost There","Revise"))</f>
        <v/>
      </c>
    </row>
    <row r="10">
      <c r="A10" s="14" t="n"/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P10" s="15">
        <f>COUNTIF(K10:O10,"Yes")</f>
        <v/>
      </c>
      <c r="Q10">
        <f>IF(P10=5,"SMART Ready",IF(P10&gt;=3,"Almost There","Revise"))</f>
        <v/>
      </c>
    </row>
    <row r="11">
      <c r="A11" s="16" t="n"/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P11" s="15">
        <f>COUNTIF(K11:O11,"Yes")</f>
        <v/>
      </c>
      <c r="Q11">
        <f>IF(P11=5,"SMART Ready",IF(P11&gt;=3,"Almost There","Revise"))</f>
        <v/>
      </c>
    </row>
    <row r="12">
      <c r="A12" s="14" t="n"/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P12" s="15">
        <f>COUNTIF(K12:O12,"Yes")</f>
        <v/>
      </c>
      <c r="Q12">
        <f>IF(P12=5,"SMART Ready",IF(P12&gt;=3,"Almost There","Revise"))</f>
        <v/>
      </c>
    </row>
    <row r="13">
      <c r="A13" s="16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P13" s="15">
        <f>COUNTIF(K13:O13,"Yes")</f>
        <v/>
      </c>
      <c r="Q13">
        <f>IF(P13=5,"SMART Ready",IF(P13&gt;=3,"Almost There","Revise"))</f>
        <v/>
      </c>
    </row>
    <row r="14">
      <c r="A14" s="14" t="n"/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P14" s="15">
        <f>COUNTIF(K14:O14,"Yes")</f>
        <v/>
      </c>
      <c r="Q14">
        <f>IF(P14=5,"SMART Ready",IF(P14&gt;=3,"Almost There","Revise"))</f>
        <v/>
      </c>
    </row>
    <row r="15">
      <c r="A15" s="16" t="n"/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  <c r="P15" s="15">
        <f>COUNTIF(K15:O15,"Yes")</f>
        <v/>
      </c>
      <c r="Q15">
        <f>IF(P15=5,"SMART Ready",IF(P15&gt;=3,"Almost There","Revise"))</f>
        <v/>
      </c>
    </row>
    <row r="16">
      <c r="A16" s="14" t="n"/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P16" s="15">
        <f>COUNTIF(K16:O16,"Yes")</f>
        <v/>
      </c>
      <c r="Q16">
        <f>IF(P16=5,"SMART Ready",IF(P16&gt;=3,"Almost There","Revise"))</f>
        <v/>
      </c>
    </row>
    <row r="17">
      <c r="A17" s="16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P17" s="15">
        <f>COUNTIF(K17:O17,"Yes")</f>
        <v/>
      </c>
      <c r="Q17">
        <f>IF(P17=5,"SMART Ready",IF(P17&gt;=3,"Almost There","Revise"))</f>
        <v/>
      </c>
    </row>
    <row r="18">
      <c r="A18" s="14" t="n"/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P18" s="15">
        <f>COUNTIF(K18:O18,"Yes")</f>
        <v/>
      </c>
      <c r="Q18">
        <f>IF(P18=5,"SMART Ready",IF(P18&gt;=3,"Almost There","Revise"))</f>
        <v/>
      </c>
    </row>
    <row r="19">
      <c r="A19" s="16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P19" s="15">
        <f>COUNTIF(K19:O19,"Yes")</f>
        <v/>
      </c>
      <c r="Q19">
        <f>IF(P19=5,"SMART Ready",IF(P19&gt;=3,"Almost There","Revise"))</f>
        <v/>
      </c>
    </row>
    <row r="20">
      <c r="A20" s="14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P20" s="15">
        <f>COUNTIF(K20:O20,"Yes")</f>
        <v/>
      </c>
      <c r="Q20">
        <f>IF(P20=5,"SMART Ready",IF(P20&gt;=3,"Almost There","Revise"))</f>
        <v/>
      </c>
    </row>
    <row r="21">
      <c r="A21" s="16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P21" s="15">
        <f>COUNTIF(K21:O21,"Yes")</f>
        <v/>
      </c>
      <c r="Q21">
        <f>IF(P21=5,"SMART Ready",IF(P21&gt;=3,"Almost There","Revise"))</f>
        <v/>
      </c>
    </row>
    <row r="22">
      <c r="A22" s="14" t="n"/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P22" s="15">
        <f>COUNTIF(K22:O22,"Yes")</f>
        <v/>
      </c>
      <c r="Q22">
        <f>IF(P22=5,"SMART Ready",IF(P22&gt;=3,"Almost There","Revise"))</f>
        <v/>
      </c>
    </row>
    <row r="23">
      <c r="A23" s="16" t="n"/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P23" s="15">
        <f>COUNTIF(K23:O23,"Yes")</f>
        <v/>
      </c>
      <c r="Q23">
        <f>IF(P23=5,"SMART Ready",IF(P23&gt;=3,"Almost There","Revise"))</f>
        <v/>
      </c>
    </row>
    <row r="24">
      <c r="A24" s="14" t="n"/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P24" s="15">
        <f>COUNTIF(K24:O24,"Yes")</f>
        <v/>
      </c>
      <c r="Q24">
        <f>IF(P24=5,"SMART Ready",IF(P24&gt;=3,"Almost There","Revise"))</f>
        <v/>
      </c>
    </row>
    <row r="25">
      <c r="A25" s="16" t="n"/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  <c r="P25" s="15">
        <f>COUNTIF(K25:O25,"Yes")</f>
        <v/>
      </c>
      <c r="Q25">
        <f>IF(P25=5,"SMART Ready",IF(P25&gt;=3,"Almost There","Revise"))</f>
        <v/>
      </c>
    </row>
    <row r="26">
      <c r="A26" s="14" t="n"/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P26" s="15">
        <f>COUNTIF(K26:O26,"Yes")</f>
        <v/>
      </c>
      <c r="Q26">
        <f>IF(P26=5,"SMART Ready",IF(P26&gt;=3,"Almost There","Revise"))</f>
        <v/>
      </c>
    </row>
    <row r="27">
      <c r="A27" s="16" t="n"/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  <c r="P27" s="15">
        <f>COUNTIF(K27:O27,"Yes")</f>
        <v/>
      </c>
      <c r="Q27">
        <f>IF(P27=5,"SMART Ready",IF(P27&gt;=3,"Almost There","Revise"))</f>
        <v/>
      </c>
    </row>
    <row r="28">
      <c r="A28" s="14" t="n"/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P28" s="15">
        <f>COUNTIF(K28:O28,"Yes")</f>
        <v/>
      </c>
      <c r="Q28">
        <f>IF(P28=5,"SMART Ready",IF(P28&gt;=3,"Almost There","Revise"))</f>
        <v/>
      </c>
    </row>
    <row r="29">
      <c r="A29" s="16" t="n"/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P29" s="15">
        <f>COUNTIF(K29:O29,"Yes")</f>
        <v/>
      </c>
      <c r="Q29">
        <f>IF(P29=5,"SMART Ready",IF(P29&gt;=3,"Almost There","Revise"))</f>
        <v/>
      </c>
    </row>
    <row r="30">
      <c r="A30" s="14" t="n"/>
      <c r="B30" s="3" t="n"/>
      <c r="C30" s="3" t="n"/>
      <c r="D30" s="3" t="n"/>
      <c r="E30" s="3" t="n"/>
      <c r="F30" s="3" t="n"/>
      <c r="G30" s="3" t="n"/>
      <c r="H30" s="3" t="n"/>
      <c r="I30" s="3" t="n"/>
      <c r="J30" s="3" t="n"/>
      <c r="P30" s="15">
        <f>COUNTIF(K30:O30,"Yes")</f>
        <v/>
      </c>
      <c r="Q30">
        <f>IF(P30=5,"SMART Ready",IF(P30&gt;=3,"Almost There","Revise"))</f>
        <v/>
      </c>
    </row>
    <row r="31">
      <c r="A31" s="16" t="n"/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  <c r="P31" s="15">
        <f>COUNTIF(K31:O31,"Yes")</f>
        <v/>
      </c>
      <c r="Q31">
        <f>IF(P31=5,"SMART Ready",IF(P31&gt;=3,"Almost There","Revise"))</f>
        <v/>
      </c>
    </row>
    <row r="32">
      <c r="A32" s="14" t="n"/>
      <c r="B32" s="3" t="n"/>
      <c r="C32" s="3" t="n"/>
      <c r="D32" s="3" t="n"/>
      <c r="E32" s="3" t="n"/>
      <c r="F32" s="3" t="n"/>
      <c r="G32" s="3" t="n"/>
      <c r="H32" s="3" t="n"/>
      <c r="I32" s="3" t="n"/>
      <c r="J32" s="3" t="n"/>
      <c r="P32" s="15">
        <f>COUNTIF(K32:O32,"Yes")</f>
        <v/>
      </c>
      <c r="Q32">
        <f>IF(P32=5,"SMART Ready",IF(P32&gt;=3,"Almost There","Revise"))</f>
        <v/>
      </c>
    </row>
    <row r="33">
      <c r="A33" s="16" t="n"/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P33" s="15">
        <f>COUNTIF(K33:O33,"Yes")</f>
        <v/>
      </c>
      <c r="Q33">
        <f>IF(P33=5,"SMART Ready",IF(P33&gt;=3,"Almost There","Revise"))</f>
        <v/>
      </c>
    </row>
    <row r="34">
      <c r="A34" s="14" t="n"/>
      <c r="B34" s="3" t="n"/>
      <c r="C34" s="3" t="n"/>
      <c r="D34" s="3" t="n"/>
      <c r="E34" s="3" t="n"/>
      <c r="F34" s="3" t="n"/>
      <c r="G34" s="3" t="n"/>
      <c r="H34" s="3" t="n"/>
      <c r="I34" s="3" t="n"/>
      <c r="J34" s="3" t="n"/>
      <c r="P34" s="15">
        <f>COUNTIF(K34:O34,"Yes")</f>
        <v/>
      </c>
      <c r="Q34">
        <f>IF(P34=5,"SMART Ready",IF(P34&gt;=3,"Almost There","Revise"))</f>
        <v/>
      </c>
    </row>
    <row r="35">
      <c r="A35" s="16" t="n"/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  <c r="P35" s="15">
        <f>COUNTIF(K35:O35,"Yes")</f>
        <v/>
      </c>
      <c r="Q35">
        <f>IF(P35=5,"SMART Ready",IF(P35&gt;=3,"Almost There","Revise"))</f>
        <v/>
      </c>
    </row>
    <row r="36">
      <c r="A36" s="14" t="n"/>
      <c r="B36" s="3" t="n"/>
      <c r="C36" s="3" t="n"/>
      <c r="D36" s="3" t="n"/>
      <c r="E36" s="3" t="n"/>
      <c r="F36" s="3" t="n"/>
      <c r="G36" s="3" t="n"/>
      <c r="H36" s="3" t="n"/>
      <c r="I36" s="3" t="n"/>
      <c r="J36" s="3" t="n"/>
      <c r="P36" s="15">
        <f>COUNTIF(K36:O36,"Yes")</f>
        <v/>
      </c>
      <c r="Q36">
        <f>IF(P36=5,"SMART Ready",IF(P36&gt;=3,"Almost There","Revise"))</f>
        <v/>
      </c>
    </row>
    <row r="37">
      <c r="A37" s="16" t="n"/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P37" s="15">
        <f>COUNTIF(K37:O37,"Yes")</f>
        <v/>
      </c>
      <c r="Q37">
        <f>IF(P37=5,"SMART Ready",IF(P37&gt;=3,"Almost There","Revise"))</f>
        <v/>
      </c>
    </row>
    <row r="38">
      <c r="A38" s="14" t="n"/>
      <c r="B38" s="3" t="n"/>
      <c r="C38" s="3" t="n"/>
      <c r="D38" s="3" t="n"/>
      <c r="E38" s="3" t="n"/>
      <c r="F38" s="3" t="n"/>
      <c r="G38" s="3" t="n"/>
      <c r="H38" s="3" t="n"/>
      <c r="I38" s="3" t="n"/>
      <c r="J38" s="3" t="n"/>
      <c r="P38" s="15">
        <f>COUNTIF(K38:O38,"Yes")</f>
        <v/>
      </c>
      <c r="Q38">
        <f>IF(P38=5,"SMART Ready",IF(P38&gt;=3,"Almost There","Revise"))</f>
        <v/>
      </c>
    </row>
    <row r="39">
      <c r="A39" s="16" t="n"/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  <c r="P39" s="15">
        <f>COUNTIF(K39:O39,"Yes")</f>
        <v/>
      </c>
      <c r="Q39">
        <f>IF(P39=5,"SMART Ready",IF(P39&gt;=3,"Almost There","Revise"))</f>
        <v/>
      </c>
    </row>
    <row r="40">
      <c r="A40" s="14" t="n"/>
      <c r="B40" s="3" t="n"/>
      <c r="C40" s="3" t="n"/>
      <c r="D40" s="3" t="n"/>
      <c r="E40" s="3" t="n"/>
      <c r="F40" s="3" t="n"/>
      <c r="G40" s="3" t="n"/>
      <c r="H40" s="3" t="n"/>
      <c r="I40" s="3" t="n"/>
      <c r="J40" s="3" t="n"/>
      <c r="P40" s="15">
        <f>COUNTIF(K40:O40,"Yes")</f>
        <v/>
      </c>
      <c r="Q40">
        <f>IF(P40=5,"SMART Ready",IF(P40&gt;=3,"Almost There","Revise"))</f>
        <v/>
      </c>
    </row>
    <row r="41">
      <c r="A41" s="16" t="n"/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P41" s="15">
        <f>COUNTIF(K41:O41,"Yes")</f>
        <v/>
      </c>
      <c r="Q41">
        <f>IF(P41=5,"SMART Ready",IF(P41&gt;=3,"Almost There","Revise"))</f>
        <v/>
      </c>
    </row>
    <row r="42">
      <c r="A42" s="14" t="n"/>
      <c r="B42" s="3" t="n"/>
      <c r="C42" s="3" t="n"/>
      <c r="D42" s="3" t="n"/>
      <c r="E42" s="3" t="n"/>
      <c r="F42" s="3" t="n"/>
      <c r="G42" s="3" t="n"/>
      <c r="H42" s="3" t="n"/>
      <c r="I42" s="3" t="n"/>
      <c r="J42" s="3" t="n"/>
      <c r="P42" s="15">
        <f>COUNTIF(K42:O42,"Yes")</f>
        <v/>
      </c>
      <c r="Q42">
        <f>IF(P42=5,"SMART Ready",IF(P42&gt;=3,"Almost There","Revise"))</f>
        <v/>
      </c>
    </row>
    <row r="43">
      <c r="A43" s="16" t="n"/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P43" s="15">
        <f>COUNTIF(K43:O43,"Yes")</f>
        <v/>
      </c>
      <c r="Q43">
        <f>IF(P43=5,"SMART Ready",IF(P43&gt;=3,"Almost There","Revise"))</f>
        <v/>
      </c>
    </row>
    <row r="44">
      <c r="A44" s="14" t="n"/>
      <c r="B44" s="3" t="n"/>
      <c r="C44" s="3" t="n"/>
      <c r="D44" s="3" t="n"/>
      <c r="E44" s="3" t="n"/>
      <c r="F44" s="3" t="n"/>
      <c r="G44" s="3" t="n"/>
      <c r="H44" s="3" t="n"/>
      <c r="I44" s="3" t="n"/>
      <c r="J44" s="3" t="n"/>
      <c r="P44" s="15">
        <f>COUNTIF(K44:O44,"Yes")</f>
        <v/>
      </c>
      <c r="Q44">
        <f>IF(P44=5,"SMART Ready",IF(P44&gt;=3,"Almost There","Revise"))</f>
        <v/>
      </c>
    </row>
    <row r="45">
      <c r="A45" s="16" t="n"/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  <c r="P45" s="15">
        <f>COUNTIF(K45:O45,"Yes")</f>
        <v/>
      </c>
      <c r="Q45">
        <f>IF(P45=5,"SMART Ready",IF(P45&gt;=3,"Almost There","Revise"))</f>
        <v/>
      </c>
    </row>
    <row r="46">
      <c r="A46" s="14" t="n"/>
      <c r="B46" s="3" t="n"/>
      <c r="C46" s="3" t="n"/>
      <c r="D46" s="3" t="n"/>
      <c r="E46" s="3" t="n"/>
      <c r="F46" s="3" t="n"/>
      <c r="G46" s="3" t="n"/>
      <c r="H46" s="3" t="n"/>
      <c r="I46" s="3" t="n"/>
      <c r="J46" s="3" t="n"/>
      <c r="P46" s="15">
        <f>COUNTIF(K46:O46,"Yes")</f>
        <v/>
      </c>
      <c r="Q46">
        <f>IF(P46=5,"SMART Ready",IF(P46&gt;=3,"Almost There","Revise"))</f>
        <v/>
      </c>
    </row>
    <row r="47">
      <c r="A47" s="16" t="n"/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  <c r="P47" s="15">
        <f>COUNTIF(K47:O47,"Yes")</f>
        <v/>
      </c>
      <c r="Q47">
        <f>IF(P47=5,"SMART Ready",IF(P47&gt;=3,"Almost There","Revise"))</f>
        <v/>
      </c>
    </row>
    <row r="48">
      <c r="A48" s="14" t="n"/>
      <c r="B48" s="3" t="n"/>
      <c r="C48" s="3" t="n"/>
      <c r="D48" s="3" t="n"/>
      <c r="E48" s="3" t="n"/>
      <c r="F48" s="3" t="n"/>
      <c r="G48" s="3" t="n"/>
      <c r="H48" s="3" t="n"/>
      <c r="I48" s="3" t="n"/>
      <c r="J48" s="3" t="n"/>
      <c r="P48" s="15">
        <f>COUNTIF(K48:O48,"Yes")</f>
        <v/>
      </c>
      <c r="Q48">
        <f>IF(P48=5,"SMART Ready",IF(P48&gt;=3,"Almost There","Revise"))</f>
        <v/>
      </c>
    </row>
    <row r="49">
      <c r="A49" s="16" t="n"/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  <c r="P49" s="15">
        <f>COUNTIF(K49:O49,"Yes")</f>
        <v/>
      </c>
      <c r="Q49">
        <f>IF(P49=5,"SMART Ready",IF(P49&gt;=3,"Almost There","Revise"))</f>
        <v/>
      </c>
    </row>
    <row r="50">
      <c r="A50" s="14" t="n"/>
      <c r="B50" s="3" t="n"/>
      <c r="C50" s="3" t="n"/>
      <c r="D50" s="3" t="n"/>
      <c r="E50" s="3" t="n"/>
      <c r="F50" s="3" t="n"/>
      <c r="G50" s="3" t="n"/>
      <c r="H50" s="3" t="n"/>
      <c r="I50" s="3" t="n"/>
      <c r="J50" s="3" t="n"/>
      <c r="P50" s="15">
        <f>COUNTIF(K50:O50,"Yes")</f>
        <v/>
      </c>
      <c r="Q50">
        <f>IF(P50=5,"SMART Ready",IF(P50&gt;=3,"Almost There","Revise"))</f>
        <v/>
      </c>
    </row>
    <row r="51">
      <c r="A51" s="16" t="n"/>
      <c r="B51" s="5" t="n"/>
      <c r="C51" s="5" t="n"/>
      <c r="D51" s="5" t="n"/>
      <c r="E51" s="5" t="n"/>
      <c r="F51" s="5" t="n"/>
      <c r="G51" s="5" t="n"/>
      <c r="H51" s="5" t="n"/>
      <c r="I51" s="5" t="n"/>
      <c r="J51" s="5" t="n"/>
      <c r="P51" s="15">
        <f>COUNTIF(K51:O51,"Yes")</f>
        <v/>
      </c>
      <c r="Q51">
        <f>IF(P51=5,"SMART Ready",IF(P51&gt;=3,"Almost There","Revise"))</f>
        <v/>
      </c>
    </row>
  </sheetData>
  <autoFilter ref="A1:J1"/>
  <conditionalFormatting sqref="I2:I51">
    <cfRule type="cellIs" priority="1" operator="equal" dxfId="0">
      <formula>"Done"</formula>
    </cfRule>
    <cfRule type="cellIs" priority="2" operator="equal" dxfId="0">
      <formula>"Yes"</formula>
    </cfRule>
    <cfRule type="cellIs" priority="3" operator="equal" dxfId="1">
      <formula>"Blocked"</formula>
    </cfRule>
    <cfRule type="cellIs" priority="4" operator="equal" dxfId="1">
      <formula>"No"</formula>
    </cfRule>
    <cfRule type="cellIs" priority="5" operator="equal" dxfId="2">
      <formula>"Partial"</formula>
    </cfRule>
    <cfRule type="cellIs" priority="6" operator="equal" dxfId="0">
      <formula>"Met"</formula>
    </cfRule>
    <cfRule type="cellIs" priority="7" operator="equal" dxfId="1">
      <formula>"Not Yet"</formula>
    </cfRule>
  </conditionalFormatting>
  <conditionalFormatting sqref="Q2:Q51">
    <cfRule type="cellIs" priority="8" operator="equal" dxfId="0">
      <formula>"SMART Ready"</formula>
    </cfRule>
    <cfRule type="cellIs" priority="9" operator="equal" dxfId="2">
      <formula>"Almost There"</formula>
    </cfRule>
    <cfRule type="cellIs" priority="10" operator="equal" dxfId="1">
      <formula>"Revise"</formula>
    </cfRule>
  </conditionalFormatting>
  <dataValidations count="3">
    <dataValidation sqref="I2:I51" showDropDown="0" showInputMessage="0" showErrorMessage="1" allowBlank="1" errorTitle="Invalid" error="Choose Met, Partial, or Not Yet." type="list">
      <formula1>"Met,Partial,Not Yet"</formula1>
    </dataValidation>
    <dataValidation sqref="A2:A51" showDropDown="0" showInputMessage="0" showErrorMessage="1" allowBlank="1" errorTitle="Invalid Date" error="Please enter a valid date (MM/DD/YYYY)." type="date" operator="greaterThan">
      <formula1>1900-01-01</formula1>
    </dataValidation>
    <dataValidation sqref="K2:O51" showDropDown="0" showInputMessage="0" showErrorMessage="0" allowBlank="1" errorTitle="Invalid SMART Check" error="Use Yes or Needs Work" type="list">
      <formula1>"Yes,Needs Work"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8" customWidth="1" min="2" max="2"/>
    <col width="24" customWidth="1" min="3" max="3"/>
    <col width="16" customWidth="1" min="4" max="4"/>
    <col width="24" customWidth="1" min="5" max="5"/>
    <col width="16" customWidth="1" min="6" max="6"/>
    <col width="24" customWidth="1" min="7" max="7"/>
    <col width="16" customWidth="1" min="8" max="8"/>
    <col width="22" customWidth="1" min="9" max="9"/>
    <col width="22" customWidth="1" min="10" max="10"/>
    <col width="16" customWidth="1" min="11" max="11"/>
    <col width="32" customWidth="1" min="12" max="12"/>
  </cols>
  <sheetData>
    <row r="1">
      <c r="A1" s="1" t="inlineStr">
        <is>
          <t>Week Of (Date)</t>
        </is>
      </c>
      <c r="B1" s="1" t="inlineStr">
        <is>
          <t>Monthly Goal Reference</t>
        </is>
      </c>
      <c r="C1" s="1" t="inlineStr">
        <is>
          <t>Outcome 1</t>
        </is>
      </c>
      <c r="D1" s="1" t="inlineStr">
        <is>
          <t>Scheduled Time 1</t>
        </is>
      </c>
      <c r="E1" s="1" t="inlineStr">
        <is>
          <t>Outcome 2</t>
        </is>
      </c>
      <c r="F1" s="1" t="inlineStr">
        <is>
          <t>Scheduled Time 2</t>
        </is>
      </c>
      <c r="G1" s="1" t="inlineStr">
        <is>
          <t>Outcome 3</t>
        </is>
      </c>
      <c r="H1" s="1" t="inlineStr">
        <is>
          <t>Scheduled Time 3</t>
        </is>
      </c>
      <c r="I1" s="1" t="inlineStr">
        <is>
          <t>Skill Practice</t>
        </is>
      </c>
      <c r="J1" s="1" t="inlineStr">
        <is>
          <t>Resources Needed</t>
        </is>
      </c>
      <c r="K1" s="1" t="inlineStr">
        <is>
          <t>Completion %</t>
        </is>
      </c>
      <c r="L1" s="1" t="inlineStr">
        <is>
          <t>Weekly Reflection</t>
        </is>
      </c>
    </row>
    <row r="2">
      <c r="A2" s="17" t="n"/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7">
        <f>IFERROR(COUNTIF('Daily Log'!F:F,"Done")/COUNTA('Daily Log'!F:F),0)</f>
        <v/>
      </c>
      <c r="L2" s="3" t="n"/>
    </row>
    <row r="3">
      <c r="A3" s="18" t="n"/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9">
        <f>IFERROR(COUNTIF('Daily Log'!F:F,"Done")/COUNTA('Daily Log'!F:F),0)</f>
        <v/>
      </c>
      <c r="L3" s="5" t="n"/>
    </row>
    <row r="4">
      <c r="A4" s="17" t="n"/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7">
        <f>IFERROR(COUNTIF('Daily Log'!F:F,"Done")/COUNTA('Daily Log'!F:F),0)</f>
        <v/>
      </c>
      <c r="L4" s="3" t="n"/>
    </row>
    <row r="5">
      <c r="A5" s="18" t="n"/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9">
        <f>IFERROR(COUNTIF('Daily Log'!F:F,"Done")/COUNTA('Daily Log'!F:F),0)</f>
        <v/>
      </c>
      <c r="L5" s="5" t="n"/>
    </row>
    <row r="6">
      <c r="A6" s="17" t="n"/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7">
        <f>IFERROR(COUNTIF('Daily Log'!F:F,"Done")/COUNTA('Daily Log'!F:F),0)</f>
        <v/>
      </c>
      <c r="L6" s="3" t="n"/>
    </row>
    <row r="7">
      <c r="A7" s="18" t="n"/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9">
        <f>IFERROR(COUNTIF('Daily Log'!F:F,"Done")/COUNTA('Daily Log'!F:F),0)</f>
        <v/>
      </c>
      <c r="L7" s="5" t="n"/>
    </row>
    <row r="8">
      <c r="A8" s="17" t="n"/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7">
        <f>IFERROR(COUNTIF('Daily Log'!F:F,"Done")/COUNTA('Daily Log'!F:F),0)</f>
        <v/>
      </c>
      <c r="L8" s="3" t="n"/>
    </row>
    <row r="9">
      <c r="A9" s="18" t="n"/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9">
        <f>IFERROR(COUNTIF('Daily Log'!F:F,"Done")/COUNTA('Daily Log'!F:F),0)</f>
        <v/>
      </c>
      <c r="L9" s="5" t="n"/>
    </row>
    <row r="10">
      <c r="A10" s="17" t="n"/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7">
        <f>IFERROR(COUNTIF('Daily Log'!F:F,"Done")/COUNTA('Daily Log'!F:F),0)</f>
        <v/>
      </c>
      <c r="L10" s="3" t="n"/>
    </row>
    <row r="11">
      <c r="A11" s="18" t="n"/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9">
        <f>IFERROR(COUNTIF('Daily Log'!F:F,"Done")/COUNTA('Daily Log'!F:F),0)</f>
        <v/>
      </c>
      <c r="L11" s="5" t="n"/>
    </row>
    <row r="12">
      <c r="A12" s="17" t="n"/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7">
        <f>IFERROR(COUNTIF('Daily Log'!F:F,"Done")/COUNTA('Daily Log'!F:F),0)</f>
        <v/>
      </c>
      <c r="L12" s="3" t="n"/>
    </row>
    <row r="13">
      <c r="A13" s="18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9">
        <f>IFERROR(COUNTIF('Daily Log'!F:F,"Done")/COUNTA('Daily Log'!F:F),0)</f>
        <v/>
      </c>
      <c r="L13" s="5" t="n"/>
    </row>
    <row r="14">
      <c r="A14" s="17" t="n"/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7">
        <f>IFERROR(COUNTIF('Daily Log'!F:F,"Done")/COUNTA('Daily Log'!F:F),0)</f>
        <v/>
      </c>
      <c r="L14" s="3" t="n"/>
    </row>
    <row r="15">
      <c r="A15" s="18" t="n"/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  <c r="K15" s="9">
        <f>IFERROR(COUNTIF('Daily Log'!F:F,"Done")/COUNTA('Daily Log'!F:F),0)</f>
        <v/>
      </c>
      <c r="L15" s="5" t="n"/>
    </row>
    <row r="16">
      <c r="A16" s="17" t="n"/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7">
        <f>IFERROR(COUNTIF('Daily Log'!F:F,"Done")/COUNTA('Daily Log'!F:F),0)</f>
        <v/>
      </c>
      <c r="L16" s="3" t="n"/>
    </row>
    <row r="17">
      <c r="A17" s="18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9">
        <f>IFERROR(COUNTIF('Daily Log'!F:F,"Done")/COUNTA('Daily Log'!F:F),0)</f>
        <v/>
      </c>
      <c r="L17" s="5" t="n"/>
    </row>
    <row r="18">
      <c r="A18" s="17" t="n"/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7">
        <f>IFERROR(COUNTIF('Daily Log'!F:F,"Done")/COUNTA('Daily Log'!F:F),0)</f>
        <v/>
      </c>
      <c r="L18" s="3" t="n"/>
    </row>
    <row r="19">
      <c r="A19" s="18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9">
        <f>IFERROR(COUNTIF('Daily Log'!F:F,"Done")/COUNTA('Daily Log'!F:F),0)</f>
        <v/>
      </c>
      <c r="L19" s="5" t="n"/>
    </row>
    <row r="20">
      <c r="A20" s="17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7">
        <f>IFERROR(COUNTIF('Daily Log'!F:F,"Done")/COUNTA('Daily Log'!F:F),0)</f>
        <v/>
      </c>
      <c r="L20" s="3" t="n"/>
    </row>
    <row r="21">
      <c r="A21" s="18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9">
        <f>IFERROR(COUNTIF('Daily Log'!F:F,"Done")/COUNTA('Daily Log'!F:F),0)</f>
        <v/>
      </c>
      <c r="L21" s="5" t="n"/>
    </row>
    <row r="22">
      <c r="A22" s="17" t="n"/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7">
        <f>IFERROR(COUNTIF('Daily Log'!F:F,"Done")/COUNTA('Daily Log'!F:F),0)</f>
        <v/>
      </c>
      <c r="L22" s="3" t="n"/>
    </row>
    <row r="23">
      <c r="A23" s="18" t="n"/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9">
        <f>IFERROR(COUNTIF('Daily Log'!F:F,"Done")/COUNTA('Daily Log'!F:F),0)</f>
        <v/>
      </c>
      <c r="L23" s="5" t="n"/>
    </row>
    <row r="24">
      <c r="A24" s="17" t="n"/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7">
        <f>IFERROR(COUNTIF('Daily Log'!F:F,"Done")/COUNTA('Daily Log'!F:F),0)</f>
        <v/>
      </c>
      <c r="L24" s="3" t="n"/>
    </row>
    <row r="25">
      <c r="A25" s="18" t="n"/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  <c r="K25" s="9">
        <f>IFERROR(COUNTIF('Daily Log'!F:F,"Done")/COUNTA('Daily Log'!F:F),0)</f>
        <v/>
      </c>
      <c r="L25" s="5" t="n"/>
    </row>
    <row r="26">
      <c r="A26" s="17" t="n"/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7">
        <f>IFERROR(COUNTIF('Daily Log'!F:F,"Done")/COUNTA('Daily Log'!F:F),0)</f>
        <v/>
      </c>
      <c r="L26" s="3" t="n"/>
    </row>
    <row r="27">
      <c r="A27" s="18" t="n"/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  <c r="K27" s="9">
        <f>IFERROR(COUNTIF('Daily Log'!F:F,"Done")/COUNTA('Daily Log'!F:F),0)</f>
        <v/>
      </c>
      <c r="L27" s="5" t="n"/>
    </row>
    <row r="28">
      <c r="A28" s="17" t="n"/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7">
        <f>IFERROR(COUNTIF('Daily Log'!F:F,"Done")/COUNTA('Daily Log'!F:F),0)</f>
        <v/>
      </c>
      <c r="L28" s="3" t="n"/>
    </row>
    <row r="29">
      <c r="A29" s="18" t="n"/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9">
        <f>IFERROR(COUNTIF('Daily Log'!F:F,"Done")/COUNTA('Daily Log'!F:F),0)</f>
        <v/>
      </c>
      <c r="L29" s="5" t="n"/>
    </row>
    <row r="30">
      <c r="A30" s="17" t="n"/>
      <c r="B30" s="3" t="n"/>
      <c r="C30" s="3" t="n"/>
      <c r="D30" s="3" t="n"/>
      <c r="E30" s="3" t="n"/>
      <c r="F30" s="3" t="n"/>
      <c r="G30" s="3" t="n"/>
      <c r="H30" s="3" t="n"/>
      <c r="I30" s="3" t="n"/>
      <c r="J30" s="3" t="n"/>
      <c r="K30" s="7">
        <f>IFERROR(COUNTIF('Daily Log'!F:F,"Done")/COUNTA('Daily Log'!F:F),0)</f>
        <v/>
      </c>
      <c r="L30" s="3" t="n"/>
    </row>
    <row r="31">
      <c r="A31" s="18" t="n"/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  <c r="K31" s="9">
        <f>IFERROR(COUNTIF('Daily Log'!F:F,"Done")/COUNTA('Daily Log'!F:F),0)</f>
        <v/>
      </c>
      <c r="L31" s="5" t="n"/>
    </row>
    <row r="32">
      <c r="A32" s="17" t="n"/>
      <c r="B32" s="3" t="n"/>
      <c r="C32" s="3" t="n"/>
      <c r="D32" s="3" t="n"/>
      <c r="E32" s="3" t="n"/>
      <c r="F32" s="3" t="n"/>
      <c r="G32" s="3" t="n"/>
      <c r="H32" s="3" t="n"/>
      <c r="I32" s="3" t="n"/>
      <c r="J32" s="3" t="n"/>
      <c r="K32" s="7">
        <f>IFERROR(COUNTIF('Daily Log'!F:F,"Done")/COUNTA('Daily Log'!F:F),0)</f>
        <v/>
      </c>
      <c r="L32" s="3" t="n"/>
    </row>
    <row r="33">
      <c r="A33" s="18" t="n"/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9">
        <f>IFERROR(COUNTIF('Daily Log'!F:F,"Done")/COUNTA('Daily Log'!F:F),0)</f>
        <v/>
      </c>
      <c r="L33" s="5" t="n"/>
    </row>
    <row r="34">
      <c r="A34" s="17" t="n"/>
      <c r="B34" s="3" t="n"/>
      <c r="C34" s="3" t="n"/>
      <c r="D34" s="3" t="n"/>
      <c r="E34" s="3" t="n"/>
      <c r="F34" s="3" t="n"/>
      <c r="G34" s="3" t="n"/>
      <c r="H34" s="3" t="n"/>
      <c r="I34" s="3" t="n"/>
      <c r="J34" s="3" t="n"/>
      <c r="K34" s="7">
        <f>IFERROR(COUNTIF('Daily Log'!F:F,"Done")/COUNTA('Daily Log'!F:F),0)</f>
        <v/>
      </c>
      <c r="L34" s="3" t="n"/>
    </row>
    <row r="35">
      <c r="A35" s="18" t="n"/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  <c r="K35" s="9">
        <f>IFERROR(COUNTIF('Daily Log'!F:F,"Done")/COUNTA('Daily Log'!F:F),0)</f>
        <v/>
      </c>
      <c r="L35" s="5" t="n"/>
    </row>
    <row r="36">
      <c r="A36" s="17" t="n"/>
      <c r="B36" s="3" t="n"/>
      <c r="C36" s="3" t="n"/>
      <c r="D36" s="3" t="n"/>
      <c r="E36" s="3" t="n"/>
      <c r="F36" s="3" t="n"/>
      <c r="G36" s="3" t="n"/>
      <c r="H36" s="3" t="n"/>
      <c r="I36" s="3" t="n"/>
      <c r="J36" s="3" t="n"/>
      <c r="K36" s="7">
        <f>IFERROR(COUNTIF('Daily Log'!F:F,"Done")/COUNTA('Daily Log'!F:F),0)</f>
        <v/>
      </c>
      <c r="L36" s="3" t="n"/>
    </row>
    <row r="37">
      <c r="A37" s="18" t="n"/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9">
        <f>IFERROR(COUNTIF('Daily Log'!F:F,"Done")/COUNTA('Daily Log'!F:F),0)</f>
        <v/>
      </c>
      <c r="L37" s="5" t="n"/>
    </row>
    <row r="38">
      <c r="A38" s="17" t="n"/>
      <c r="B38" s="3" t="n"/>
      <c r="C38" s="3" t="n"/>
      <c r="D38" s="3" t="n"/>
      <c r="E38" s="3" t="n"/>
      <c r="F38" s="3" t="n"/>
      <c r="G38" s="3" t="n"/>
      <c r="H38" s="3" t="n"/>
      <c r="I38" s="3" t="n"/>
      <c r="J38" s="3" t="n"/>
      <c r="K38" s="7">
        <f>IFERROR(COUNTIF('Daily Log'!F:F,"Done")/COUNTA('Daily Log'!F:F),0)</f>
        <v/>
      </c>
      <c r="L38" s="3" t="n"/>
    </row>
    <row r="39">
      <c r="A39" s="18" t="n"/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  <c r="K39" s="9">
        <f>IFERROR(COUNTIF('Daily Log'!F:F,"Done")/COUNTA('Daily Log'!F:F),0)</f>
        <v/>
      </c>
      <c r="L39" s="5" t="n"/>
    </row>
    <row r="40">
      <c r="A40" s="17" t="n"/>
      <c r="B40" s="3" t="n"/>
      <c r="C40" s="3" t="n"/>
      <c r="D40" s="3" t="n"/>
      <c r="E40" s="3" t="n"/>
      <c r="F40" s="3" t="n"/>
      <c r="G40" s="3" t="n"/>
      <c r="H40" s="3" t="n"/>
      <c r="I40" s="3" t="n"/>
      <c r="J40" s="3" t="n"/>
      <c r="K40" s="7">
        <f>IFERROR(COUNTIF('Daily Log'!F:F,"Done")/COUNTA('Daily Log'!F:F),0)</f>
        <v/>
      </c>
      <c r="L40" s="3" t="n"/>
    </row>
    <row r="41">
      <c r="A41" s="18" t="n"/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9">
        <f>IFERROR(COUNTIF('Daily Log'!F:F,"Done")/COUNTA('Daily Log'!F:F),0)</f>
        <v/>
      </c>
      <c r="L41" s="5" t="n"/>
    </row>
    <row r="42">
      <c r="A42" s="17" t="n"/>
      <c r="B42" s="3" t="n"/>
      <c r="C42" s="3" t="n"/>
      <c r="D42" s="3" t="n"/>
      <c r="E42" s="3" t="n"/>
      <c r="F42" s="3" t="n"/>
      <c r="G42" s="3" t="n"/>
      <c r="H42" s="3" t="n"/>
      <c r="I42" s="3" t="n"/>
      <c r="J42" s="3" t="n"/>
      <c r="K42" s="7">
        <f>IFERROR(COUNTIF('Daily Log'!F:F,"Done")/COUNTA('Daily Log'!F:F),0)</f>
        <v/>
      </c>
      <c r="L42" s="3" t="n"/>
    </row>
    <row r="43">
      <c r="A43" s="18" t="n"/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9">
        <f>IFERROR(COUNTIF('Daily Log'!F:F,"Done")/COUNTA('Daily Log'!F:F),0)</f>
        <v/>
      </c>
      <c r="L43" s="5" t="n"/>
    </row>
    <row r="44">
      <c r="A44" s="17" t="n"/>
      <c r="B44" s="3" t="n"/>
      <c r="C44" s="3" t="n"/>
      <c r="D44" s="3" t="n"/>
      <c r="E44" s="3" t="n"/>
      <c r="F44" s="3" t="n"/>
      <c r="G44" s="3" t="n"/>
      <c r="H44" s="3" t="n"/>
      <c r="I44" s="3" t="n"/>
      <c r="J44" s="3" t="n"/>
      <c r="K44" s="7">
        <f>IFERROR(COUNTIF('Daily Log'!F:F,"Done")/COUNTA('Daily Log'!F:F),0)</f>
        <v/>
      </c>
      <c r="L44" s="3" t="n"/>
    </row>
    <row r="45">
      <c r="A45" s="18" t="n"/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  <c r="K45" s="9">
        <f>IFERROR(COUNTIF('Daily Log'!F:F,"Done")/COUNTA('Daily Log'!F:F),0)</f>
        <v/>
      </c>
      <c r="L45" s="5" t="n"/>
    </row>
    <row r="46">
      <c r="A46" s="17" t="n"/>
      <c r="B46" s="3" t="n"/>
      <c r="C46" s="3" t="n"/>
      <c r="D46" s="3" t="n"/>
      <c r="E46" s="3" t="n"/>
      <c r="F46" s="3" t="n"/>
      <c r="G46" s="3" t="n"/>
      <c r="H46" s="3" t="n"/>
      <c r="I46" s="3" t="n"/>
      <c r="J46" s="3" t="n"/>
      <c r="K46" s="7">
        <f>IFERROR(COUNTIF('Daily Log'!F:F,"Done")/COUNTA('Daily Log'!F:F),0)</f>
        <v/>
      </c>
      <c r="L46" s="3" t="n"/>
    </row>
    <row r="47">
      <c r="A47" s="18" t="n"/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  <c r="K47" s="9">
        <f>IFERROR(COUNTIF('Daily Log'!F:F,"Done")/COUNTA('Daily Log'!F:F),0)</f>
        <v/>
      </c>
      <c r="L47" s="5" t="n"/>
    </row>
    <row r="48">
      <c r="A48" s="17" t="n"/>
      <c r="B48" s="3" t="n"/>
      <c r="C48" s="3" t="n"/>
      <c r="D48" s="3" t="n"/>
      <c r="E48" s="3" t="n"/>
      <c r="F48" s="3" t="n"/>
      <c r="G48" s="3" t="n"/>
      <c r="H48" s="3" t="n"/>
      <c r="I48" s="3" t="n"/>
      <c r="J48" s="3" t="n"/>
      <c r="K48" s="7">
        <f>IFERROR(COUNTIF('Daily Log'!F:F,"Done")/COUNTA('Daily Log'!F:F),0)</f>
        <v/>
      </c>
      <c r="L48" s="3" t="n"/>
    </row>
    <row r="49">
      <c r="A49" s="18" t="n"/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  <c r="K49" s="9">
        <f>IFERROR(COUNTIF('Daily Log'!F:F,"Done")/COUNTA('Daily Log'!F:F),0)</f>
        <v/>
      </c>
      <c r="L49" s="5" t="n"/>
    </row>
    <row r="50">
      <c r="A50" s="17" t="n"/>
      <c r="B50" s="3" t="n"/>
      <c r="C50" s="3" t="n"/>
      <c r="D50" s="3" t="n"/>
      <c r="E50" s="3" t="n"/>
      <c r="F50" s="3" t="n"/>
      <c r="G50" s="3" t="n"/>
      <c r="H50" s="3" t="n"/>
      <c r="I50" s="3" t="n"/>
      <c r="J50" s="3" t="n"/>
      <c r="K50" s="7">
        <f>IFERROR(COUNTIF('Daily Log'!F:F,"Done")/COUNTA('Daily Log'!F:F),0)</f>
        <v/>
      </c>
      <c r="L50" s="3" t="n"/>
    </row>
    <row r="51">
      <c r="A51" s="18" t="n"/>
      <c r="B51" s="5" t="n"/>
      <c r="C51" s="5" t="n"/>
      <c r="D51" s="5" t="n"/>
      <c r="E51" s="5" t="n"/>
      <c r="F51" s="5" t="n"/>
      <c r="G51" s="5" t="n"/>
      <c r="H51" s="5" t="n"/>
      <c r="I51" s="5" t="n"/>
      <c r="J51" s="5" t="n"/>
      <c r="K51" s="9">
        <f>IFERROR(COUNTIF('Daily Log'!F:F,"Done")/COUNTA('Daily Log'!F:F),0)</f>
        <v/>
      </c>
      <c r="L51" s="5" t="n"/>
    </row>
  </sheetData>
  <autoFilter ref="A1:L1"/>
  <dataValidations count="1">
    <dataValidation sqref="A2:A51" showDropDown="0" showInputMessage="0" showErrorMessage="1" allowBlank="1" errorTitle="Invalid Date" error="Please enter a valid date (MM/DD/YYYY)." type="date" operator="greaterThan">
      <formula1>1900-01-01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26" customWidth="1" min="3" max="3"/>
    <col width="24" customWidth="1" min="4" max="4"/>
    <col width="24" customWidth="1" min="5" max="5"/>
    <col width="14" customWidth="1" min="6" max="6"/>
    <col width="16" customWidth="1" min="7" max="7"/>
    <col width="28" customWidth="1" min="8" max="8"/>
    <col width="28" customWidth="1" min="9" max="9"/>
    <col width="20" customWidth="1" min="10" max="10"/>
  </cols>
  <sheetData>
    <row r="1">
      <c r="A1" s="1" t="inlineStr">
        <is>
          <t>Date</t>
        </is>
      </c>
      <c r="B1" s="1" t="inlineStr">
        <is>
          <t>Weekly Outcome Link</t>
        </is>
      </c>
      <c r="C1" s="1" t="inlineStr">
        <is>
          <t>Top 1 Priority</t>
        </is>
      </c>
      <c r="D1" s="1" t="inlineStr">
        <is>
          <t>Support Task A</t>
        </is>
      </c>
      <c r="E1" s="1" t="inlineStr">
        <is>
          <t>Support Task B</t>
        </is>
      </c>
      <c r="F1" s="1" t="inlineStr">
        <is>
          <t>Status</t>
        </is>
      </c>
      <c r="G1" s="1" t="inlineStr">
        <is>
          <t>Minutes Worked</t>
        </is>
      </c>
      <c r="H1" s="1" t="inlineStr">
        <is>
          <t>Evidence (Link/Note)</t>
        </is>
      </c>
      <c r="I1" s="1" t="inlineStr">
        <is>
          <t>Comment</t>
        </is>
      </c>
      <c r="J1" s="1" t="inlineStr">
        <is>
          <t>Barrier Check</t>
        </is>
      </c>
    </row>
    <row r="2">
      <c r="A2" s="17" t="n"/>
      <c r="B2" s="3" t="n"/>
      <c r="C2" s="3" t="n"/>
      <c r="D2" s="3" t="n"/>
      <c r="E2" s="3" t="n"/>
      <c r="F2" s="3" t="n"/>
      <c r="G2" s="10" t="n"/>
      <c r="H2" s="3" t="n"/>
      <c r="I2" s="3" t="n"/>
      <c r="J2">
        <f>IF(F2="","",IF(F2="Blocked","Log in Barriers","Clear"))</f>
        <v/>
      </c>
    </row>
    <row r="3">
      <c r="A3" s="18" t="n"/>
      <c r="B3" s="5" t="n"/>
      <c r="C3" s="5" t="n"/>
      <c r="D3" s="5" t="n"/>
      <c r="E3" s="5" t="n"/>
      <c r="F3" s="5" t="n"/>
      <c r="G3" s="11" t="n"/>
      <c r="H3" s="5" t="n"/>
      <c r="I3" s="5" t="n"/>
      <c r="J3">
        <f>IF(F3="","",IF(F3="Blocked","Log in Barriers","Clear"))</f>
        <v/>
      </c>
    </row>
    <row r="4">
      <c r="A4" s="17" t="n"/>
      <c r="B4" s="3" t="n"/>
      <c r="C4" s="3" t="n"/>
      <c r="D4" s="3" t="n"/>
      <c r="E4" s="3" t="n"/>
      <c r="F4" s="3" t="n"/>
      <c r="G4" s="10" t="n"/>
      <c r="H4" s="3" t="n"/>
      <c r="I4" s="3" t="n"/>
      <c r="J4">
        <f>IF(F4="","",IF(F4="Blocked","Log in Barriers","Clear"))</f>
        <v/>
      </c>
    </row>
    <row r="5">
      <c r="A5" s="18" t="n"/>
      <c r="B5" s="5" t="n"/>
      <c r="C5" s="5" t="n"/>
      <c r="D5" s="5" t="n"/>
      <c r="E5" s="5" t="n"/>
      <c r="F5" s="5" t="n"/>
      <c r="G5" s="11" t="n"/>
      <c r="H5" s="5" t="n"/>
      <c r="I5" s="5" t="n"/>
      <c r="J5">
        <f>IF(F5="","",IF(F5="Blocked","Log in Barriers","Clear"))</f>
        <v/>
      </c>
    </row>
    <row r="6">
      <c r="A6" s="17" t="n"/>
      <c r="B6" s="3" t="n"/>
      <c r="C6" s="3" t="n"/>
      <c r="D6" s="3" t="n"/>
      <c r="E6" s="3" t="n"/>
      <c r="F6" s="3" t="n"/>
      <c r="G6" s="10" t="n"/>
      <c r="H6" s="3" t="n"/>
      <c r="I6" s="3" t="n"/>
      <c r="J6">
        <f>IF(F6="","",IF(F6="Blocked","Log in Barriers","Clear"))</f>
        <v/>
      </c>
    </row>
    <row r="7">
      <c r="A7" s="18" t="n"/>
      <c r="B7" s="5" t="n"/>
      <c r="C7" s="5" t="n"/>
      <c r="D7" s="5" t="n"/>
      <c r="E7" s="5" t="n"/>
      <c r="F7" s="5" t="n"/>
      <c r="G7" s="11" t="n"/>
      <c r="H7" s="5" t="n"/>
      <c r="I7" s="5" t="n"/>
      <c r="J7">
        <f>IF(F7="","",IF(F7="Blocked","Log in Barriers","Clear"))</f>
        <v/>
      </c>
    </row>
    <row r="8">
      <c r="A8" s="17" t="n"/>
      <c r="B8" s="3" t="n"/>
      <c r="C8" s="3" t="n"/>
      <c r="D8" s="3" t="n"/>
      <c r="E8" s="3" t="n"/>
      <c r="F8" s="3" t="n"/>
      <c r="G8" s="10" t="n"/>
      <c r="H8" s="3" t="n"/>
      <c r="I8" s="3" t="n"/>
      <c r="J8">
        <f>IF(F8="","",IF(F8="Blocked","Log in Barriers","Clear"))</f>
        <v/>
      </c>
    </row>
    <row r="9">
      <c r="A9" s="18" t="n"/>
      <c r="B9" s="5" t="n"/>
      <c r="C9" s="5" t="n"/>
      <c r="D9" s="5" t="n"/>
      <c r="E9" s="5" t="n"/>
      <c r="F9" s="5" t="n"/>
      <c r="G9" s="11" t="n"/>
      <c r="H9" s="5" t="n"/>
      <c r="I9" s="5" t="n"/>
      <c r="J9">
        <f>IF(F9="","",IF(F9="Blocked","Log in Barriers","Clear"))</f>
        <v/>
      </c>
    </row>
    <row r="10">
      <c r="A10" s="17" t="n"/>
      <c r="B10" s="3" t="n"/>
      <c r="C10" s="3" t="n"/>
      <c r="D10" s="3" t="n"/>
      <c r="E10" s="3" t="n"/>
      <c r="F10" s="3" t="n"/>
      <c r="G10" s="10" t="n"/>
      <c r="H10" s="3" t="n"/>
      <c r="I10" s="3" t="n"/>
      <c r="J10">
        <f>IF(F10="","",IF(F10="Blocked","Log in Barriers","Clear"))</f>
        <v/>
      </c>
    </row>
    <row r="11">
      <c r="A11" s="18" t="n"/>
      <c r="B11" s="5" t="n"/>
      <c r="C11" s="5" t="n"/>
      <c r="D11" s="5" t="n"/>
      <c r="E11" s="5" t="n"/>
      <c r="F11" s="5" t="n"/>
      <c r="G11" s="11" t="n"/>
      <c r="H11" s="5" t="n"/>
      <c r="I11" s="5" t="n"/>
      <c r="J11">
        <f>IF(F11="","",IF(F11="Blocked","Log in Barriers","Clear"))</f>
        <v/>
      </c>
    </row>
    <row r="12">
      <c r="A12" s="17" t="n"/>
      <c r="B12" s="3" t="n"/>
      <c r="C12" s="3" t="n"/>
      <c r="D12" s="3" t="n"/>
      <c r="E12" s="3" t="n"/>
      <c r="F12" s="3" t="n"/>
      <c r="G12" s="10" t="n"/>
      <c r="H12" s="3" t="n"/>
      <c r="I12" s="3" t="n"/>
      <c r="J12">
        <f>IF(F12="","",IF(F12="Blocked","Log in Barriers","Clear"))</f>
        <v/>
      </c>
    </row>
    <row r="13">
      <c r="A13" s="18" t="n"/>
      <c r="B13" s="5" t="n"/>
      <c r="C13" s="5" t="n"/>
      <c r="D13" s="5" t="n"/>
      <c r="E13" s="5" t="n"/>
      <c r="F13" s="5" t="n"/>
      <c r="G13" s="11" t="n"/>
      <c r="H13" s="5" t="n"/>
      <c r="I13" s="5" t="n"/>
      <c r="J13">
        <f>IF(F13="","",IF(F13="Blocked","Log in Barriers","Clear"))</f>
        <v/>
      </c>
    </row>
    <row r="14">
      <c r="A14" s="17" t="n"/>
      <c r="B14" s="3" t="n"/>
      <c r="C14" s="3" t="n"/>
      <c r="D14" s="3" t="n"/>
      <c r="E14" s="3" t="n"/>
      <c r="F14" s="3" t="n"/>
      <c r="G14" s="10" t="n"/>
      <c r="H14" s="3" t="n"/>
      <c r="I14" s="3" t="n"/>
      <c r="J14">
        <f>IF(F14="","",IF(F14="Blocked","Log in Barriers","Clear"))</f>
        <v/>
      </c>
    </row>
    <row r="15">
      <c r="A15" s="18" t="n"/>
      <c r="B15" s="5" t="n"/>
      <c r="C15" s="5" t="n"/>
      <c r="D15" s="5" t="n"/>
      <c r="E15" s="5" t="n"/>
      <c r="F15" s="5" t="n"/>
      <c r="G15" s="11" t="n"/>
      <c r="H15" s="5" t="n"/>
      <c r="I15" s="5" t="n"/>
      <c r="J15">
        <f>IF(F15="","",IF(F15="Blocked","Log in Barriers","Clear"))</f>
        <v/>
      </c>
    </row>
    <row r="16">
      <c r="A16" s="17" t="n"/>
      <c r="B16" s="3" t="n"/>
      <c r="C16" s="3" t="n"/>
      <c r="D16" s="3" t="n"/>
      <c r="E16" s="3" t="n"/>
      <c r="F16" s="3" t="n"/>
      <c r="G16" s="10" t="n"/>
      <c r="H16" s="3" t="n"/>
      <c r="I16" s="3" t="n"/>
      <c r="J16">
        <f>IF(F16="","",IF(F16="Blocked","Log in Barriers","Clear"))</f>
        <v/>
      </c>
    </row>
    <row r="17">
      <c r="A17" s="18" t="n"/>
      <c r="B17" s="5" t="n"/>
      <c r="C17" s="5" t="n"/>
      <c r="D17" s="5" t="n"/>
      <c r="E17" s="5" t="n"/>
      <c r="F17" s="5" t="n"/>
      <c r="G17" s="11" t="n"/>
      <c r="H17" s="5" t="n"/>
      <c r="I17" s="5" t="n"/>
      <c r="J17">
        <f>IF(F17="","",IF(F17="Blocked","Log in Barriers","Clear"))</f>
        <v/>
      </c>
    </row>
    <row r="18">
      <c r="A18" s="17" t="n"/>
      <c r="B18" s="3" t="n"/>
      <c r="C18" s="3" t="n"/>
      <c r="D18" s="3" t="n"/>
      <c r="E18" s="3" t="n"/>
      <c r="F18" s="3" t="n"/>
      <c r="G18" s="10" t="n"/>
      <c r="H18" s="3" t="n"/>
      <c r="I18" s="3" t="n"/>
      <c r="J18">
        <f>IF(F18="","",IF(F18="Blocked","Log in Barriers","Clear"))</f>
        <v/>
      </c>
    </row>
    <row r="19">
      <c r="A19" s="18" t="n"/>
      <c r="B19" s="5" t="n"/>
      <c r="C19" s="5" t="n"/>
      <c r="D19" s="5" t="n"/>
      <c r="E19" s="5" t="n"/>
      <c r="F19" s="5" t="n"/>
      <c r="G19" s="11" t="n"/>
      <c r="H19" s="5" t="n"/>
      <c r="I19" s="5" t="n"/>
      <c r="J19">
        <f>IF(F19="","",IF(F19="Blocked","Log in Barriers","Clear"))</f>
        <v/>
      </c>
    </row>
    <row r="20">
      <c r="A20" s="17" t="n"/>
      <c r="B20" s="3" t="n"/>
      <c r="C20" s="3" t="n"/>
      <c r="D20" s="3" t="n"/>
      <c r="E20" s="3" t="n"/>
      <c r="F20" s="3" t="n"/>
      <c r="G20" s="10" t="n"/>
      <c r="H20" s="3" t="n"/>
      <c r="I20" s="3" t="n"/>
      <c r="J20">
        <f>IF(F20="","",IF(F20="Blocked","Log in Barriers","Clear"))</f>
        <v/>
      </c>
    </row>
    <row r="21">
      <c r="A21" s="18" t="n"/>
      <c r="B21" s="5" t="n"/>
      <c r="C21" s="5" t="n"/>
      <c r="D21" s="5" t="n"/>
      <c r="E21" s="5" t="n"/>
      <c r="F21" s="5" t="n"/>
      <c r="G21" s="11" t="n"/>
      <c r="H21" s="5" t="n"/>
      <c r="I21" s="5" t="n"/>
      <c r="J21">
        <f>IF(F21="","",IF(F21="Blocked","Log in Barriers","Clear"))</f>
        <v/>
      </c>
    </row>
    <row r="22">
      <c r="A22" s="17" t="n"/>
      <c r="B22" s="3" t="n"/>
      <c r="C22" s="3" t="n"/>
      <c r="D22" s="3" t="n"/>
      <c r="E22" s="3" t="n"/>
      <c r="F22" s="3" t="n"/>
      <c r="G22" s="10" t="n"/>
      <c r="H22" s="3" t="n"/>
      <c r="I22" s="3" t="n"/>
      <c r="J22">
        <f>IF(F22="","",IF(F22="Blocked","Log in Barriers","Clear"))</f>
        <v/>
      </c>
    </row>
    <row r="23">
      <c r="A23" s="18" t="n"/>
      <c r="B23" s="5" t="n"/>
      <c r="C23" s="5" t="n"/>
      <c r="D23" s="5" t="n"/>
      <c r="E23" s="5" t="n"/>
      <c r="F23" s="5" t="n"/>
      <c r="G23" s="11" t="n"/>
      <c r="H23" s="5" t="n"/>
      <c r="I23" s="5" t="n"/>
      <c r="J23">
        <f>IF(F23="","",IF(F23="Blocked","Log in Barriers","Clear"))</f>
        <v/>
      </c>
    </row>
    <row r="24">
      <c r="A24" s="17" t="n"/>
      <c r="B24" s="3" t="n"/>
      <c r="C24" s="3" t="n"/>
      <c r="D24" s="3" t="n"/>
      <c r="E24" s="3" t="n"/>
      <c r="F24" s="3" t="n"/>
      <c r="G24" s="10" t="n"/>
      <c r="H24" s="3" t="n"/>
      <c r="I24" s="3" t="n"/>
      <c r="J24">
        <f>IF(F24="","",IF(F24="Blocked","Log in Barriers","Clear"))</f>
        <v/>
      </c>
    </row>
    <row r="25">
      <c r="A25" s="18" t="n"/>
      <c r="B25" s="5" t="n"/>
      <c r="C25" s="5" t="n"/>
      <c r="D25" s="5" t="n"/>
      <c r="E25" s="5" t="n"/>
      <c r="F25" s="5" t="n"/>
      <c r="G25" s="11" t="n"/>
      <c r="H25" s="5" t="n"/>
      <c r="I25" s="5" t="n"/>
      <c r="J25">
        <f>IF(F25="","",IF(F25="Blocked","Log in Barriers","Clear"))</f>
        <v/>
      </c>
    </row>
    <row r="26">
      <c r="A26" s="17" t="n"/>
      <c r="B26" s="3" t="n"/>
      <c r="C26" s="3" t="n"/>
      <c r="D26" s="3" t="n"/>
      <c r="E26" s="3" t="n"/>
      <c r="F26" s="3" t="n"/>
      <c r="G26" s="10" t="n"/>
      <c r="H26" s="3" t="n"/>
      <c r="I26" s="3" t="n"/>
      <c r="J26">
        <f>IF(F26="","",IF(F26="Blocked","Log in Barriers","Clear"))</f>
        <v/>
      </c>
    </row>
    <row r="27">
      <c r="A27" s="18" t="n"/>
      <c r="B27" s="5" t="n"/>
      <c r="C27" s="5" t="n"/>
      <c r="D27" s="5" t="n"/>
      <c r="E27" s="5" t="n"/>
      <c r="F27" s="5" t="n"/>
      <c r="G27" s="11" t="n"/>
      <c r="H27" s="5" t="n"/>
      <c r="I27" s="5" t="n"/>
      <c r="J27">
        <f>IF(F27="","",IF(F27="Blocked","Log in Barriers","Clear"))</f>
        <v/>
      </c>
    </row>
    <row r="28">
      <c r="A28" s="17" t="n"/>
      <c r="B28" s="3" t="n"/>
      <c r="C28" s="3" t="n"/>
      <c r="D28" s="3" t="n"/>
      <c r="E28" s="3" t="n"/>
      <c r="F28" s="3" t="n"/>
      <c r="G28" s="10" t="n"/>
      <c r="H28" s="3" t="n"/>
      <c r="I28" s="3" t="n"/>
      <c r="J28">
        <f>IF(F28="","",IF(F28="Blocked","Log in Barriers","Clear"))</f>
        <v/>
      </c>
    </row>
    <row r="29">
      <c r="A29" s="18" t="n"/>
      <c r="B29" s="5" t="n"/>
      <c r="C29" s="5" t="n"/>
      <c r="D29" s="5" t="n"/>
      <c r="E29" s="5" t="n"/>
      <c r="F29" s="5" t="n"/>
      <c r="G29" s="11" t="n"/>
      <c r="H29" s="5" t="n"/>
      <c r="I29" s="5" t="n"/>
      <c r="J29">
        <f>IF(F29="","",IF(F29="Blocked","Log in Barriers","Clear"))</f>
        <v/>
      </c>
    </row>
    <row r="30">
      <c r="A30" s="17" t="n"/>
      <c r="B30" s="3" t="n"/>
      <c r="C30" s="3" t="n"/>
      <c r="D30" s="3" t="n"/>
      <c r="E30" s="3" t="n"/>
      <c r="F30" s="3" t="n"/>
      <c r="G30" s="10" t="n"/>
      <c r="H30" s="3" t="n"/>
      <c r="I30" s="3" t="n"/>
      <c r="J30">
        <f>IF(F30="","",IF(F30="Blocked","Log in Barriers","Clear"))</f>
        <v/>
      </c>
    </row>
    <row r="31">
      <c r="A31" s="18" t="n"/>
      <c r="B31" s="5" t="n"/>
      <c r="C31" s="5" t="n"/>
      <c r="D31" s="5" t="n"/>
      <c r="E31" s="5" t="n"/>
      <c r="F31" s="5" t="n"/>
      <c r="G31" s="11" t="n"/>
      <c r="H31" s="5" t="n"/>
      <c r="I31" s="5" t="n"/>
      <c r="J31">
        <f>IF(F31="","",IF(F31="Blocked","Log in Barriers","Clear"))</f>
        <v/>
      </c>
    </row>
    <row r="32">
      <c r="A32" s="17" t="n"/>
      <c r="B32" s="3" t="n"/>
      <c r="C32" s="3" t="n"/>
      <c r="D32" s="3" t="n"/>
      <c r="E32" s="3" t="n"/>
      <c r="F32" s="3" t="n"/>
      <c r="G32" s="10" t="n"/>
      <c r="H32" s="3" t="n"/>
      <c r="I32" s="3" t="n"/>
      <c r="J32">
        <f>IF(F32="","",IF(F32="Blocked","Log in Barriers","Clear"))</f>
        <v/>
      </c>
    </row>
    <row r="33">
      <c r="A33" s="18" t="n"/>
      <c r="B33" s="5" t="n"/>
      <c r="C33" s="5" t="n"/>
      <c r="D33" s="5" t="n"/>
      <c r="E33" s="5" t="n"/>
      <c r="F33" s="5" t="n"/>
      <c r="G33" s="11" t="n"/>
      <c r="H33" s="5" t="n"/>
      <c r="I33" s="5" t="n"/>
      <c r="J33">
        <f>IF(F33="","",IF(F33="Blocked","Log in Barriers","Clear"))</f>
        <v/>
      </c>
    </row>
    <row r="34">
      <c r="A34" s="17" t="n"/>
      <c r="B34" s="3" t="n"/>
      <c r="C34" s="3" t="n"/>
      <c r="D34" s="3" t="n"/>
      <c r="E34" s="3" t="n"/>
      <c r="F34" s="3" t="n"/>
      <c r="G34" s="10" t="n"/>
      <c r="H34" s="3" t="n"/>
      <c r="I34" s="3" t="n"/>
      <c r="J34">
        <f>IF(F34="","",IF(F34="Blocked","Log in Barriers","Clear"))</f>
        <v/>
      </c>
    </row>
    <row r="35">
      <c r="A35" s="18" t="n"/>
      <c r="B35" s="5" t="n"/>
      <c r="C35" s="5" t="n"/>
      <c r="D35" s="5" t="n"/>
      <c r="E35" s="5" t="n"/>
      <c r="F35" s="5" t="n"/>
      <c r="G35" s="11" t="n"/>
      <c r="H35" s="5" t="n"/>
      <c r="I35" s="5" t="n"/>
      <c r="J35">
        <f>IF(F35="","",IF(F35="Blocked","Log in Barriers","Clear"))</f>
        <v/>
      </c>
    </row>
    <row r="36">
      <c r="A36" s="17" t="n"/>
      <c r="B36" s="3" t="n"/>
      <c r="C36" s="3" t="n"/>
      <c r="D36" s="3" t="n"/>
      <c r="E36" s="3" t="n"/>
      <c r="F36" s="3" t="n"/>
      <c r="G36" s="10" t="n"/>
      <c r="H36" s="3" t="n"/>
      <c r="I36" s="3" t="n"/>
      <c r="J36">
        <f>IF(F36="","",IF(F36="Blocked","Log in Barriers","Clear"))</f>
        <v/>
      </c>
    </row>
    <row r="37">
      <c r="A37" s="18" t="n"/>
      <c r="B37" s="5" t="n"/>
      <c r="C37" s="5" t="n"/>
      <c r="D37" s="5" t="n"/>
      <c r="E37" s="5" t="n"/>
      <c r="F37" s="5" t="n"/>
      <c r="G37" s="11" t="n"/>
      <c r="H37" s="5" t="n"/>
      <c r="I37" s="5" t="n"/>
      <c r="J37">
        <f>IF(F37="","",IF(F37="Blocked","Log in Barriers","Clear"))</f>
        <v/>
      </c>
    </row>
    <row r="38">
      <c r="A38" s="17" t="n"/>
      <c r="B38" s="3" t="n"/>
      <c r="C38" s="3" t="n"/>
      <c r="D38" s="3" t="n"/>
      <c r="E38" s="3" t="n"/>
      <c r="F38" s="3" t="n"/>
      <c r="G38" s="10" t="n"/>
      <c r="H38" s="3" t="n"/>
      <c r="I38" s="3" t="n"/>
      <c r="J38">
        <f>IF(F38="","",IF(F38="Blocked","Log in Barriers","Clear"))</f>
        <v/>
      </c>
    </row>
    <row r="39">
      <c r="A39" s="18" t="n"/>
      <c r="B39" s="5" t="n"/>
      <c r="C39" s="5" t="n"/>
      <c r="D39" s="5" t="n"/>
      <c r="E39" s="5" t="n"/>
      <c r="F39" s="5" t="n"/>
      <c r="G39" s="11" t="n"/>
      <c r="H39" s="5" t="n"/>
      <c r="I39" s="5" t="n"/>
      <c r="J39">
        <f>IF(F39="","",IF(F39="Blocked","Log in Barriers","Clear"))</f>
        <v/>
      </c>
    </row>
    <row r="40">
      <c r="A40" s="17" t="n"/>
      <c r="B40" s="3" t="n"/>
      <c r="C40" s="3" t="n"/>
      <c r="D40" s="3" t="n"/>
      <c r="E40" s="3" t="n"/>
      <c r="F40" s="3" t="n"/>
      <c r="G40" s="10" t="n"/>
      <c r="H40" s="3" t="n"/>
      <c r="I40" s="3" t="n"/>
      <c r="J40">
        <f>IF(F40="","",IF(F40="Blocked","Log in Barriers","Clear"))</f>
        <v/>
      </c>
    </row>
    <row r="41">
      <c r="A41" s="18" t="n"/>
      <c r="B41" s="5" t="n"/>
      <c r="C41" s="5" t="n"/>
      <c r="D41" s="5" t="n"/>
      <c r="E41" s="5" t="n"/>
      <c r="F41" s="5" t="n"/>
      <c r="G41" s="11" t="n"/>
      <c r="H41" s="5" t="n"/>
      <c r="I41" s="5" t="n"/>
      <c r="J41">
        <f>IF(F41="","",IF(F41="Blocked","Log in Barriers","Clear"))</f>
        <v/>
      </c>
    </row>
    <row r="42">
      <c r="A42" s="17" t="n"/>
      <c r="B42" s="3" t="n"/>
      <c r="C42" s="3" t="n"/>
      <c r="D42" s="3" t="n"/>
      <c r="E42" s="3" t="n"/>
      <c r="F42" s="3" t="n"/>
      <c r="G42" s="10" t="n"/>
      <c r="H42" s="3" t="n"/>
      <c r="I42" s="3" t="n"/>
      <c r="J42">
        <f>IF(F42="","",IF(F42="Blocked","Log in Barriers","Clear"))</f>
        <v/>
      </c>
    </row>
    <row r="43">
      <c r="A43" s="18" t="n"/>
      <c r="B43" s="5" t="n"/>
      <c r="C43" s="5" t="n"/>
      <c r="D43" s="5" t="n"/>
      <c r="E43" s="5" t="n"/>
      <c r="F43" s="5" t="n"/>
      <c r="G43" s="11" t="n"/>
      <c r="H43" s="5" t="n"/>
      <c r="I43" s="5" t="n"/>
      <c r="J43">
        <f>IF(F43="","",IF(F43="Blocked","Log in Barriers","Clear"))</f>
        <v/>
      </c>
    </row>
    <row r="44">
      <c r="A44" s="17" t="n"/>
      <c r="B44" s="3" t="n"/>
      <c r="C44" s="3" t="n"/>
      <c r="D44" s="3" t="n"/>
      <c r="E44" s="3" t="n"/>
      <c r="F44" s="3" t="n"/>
      <c r="G44" s="10" t="n"/>
      <c r="H44" s="3" t="n"/>
      <c r="I44" s="3" t="n"/>
      <c r="J44">
        <f>IF(F44="","",IF(F44="Blocked","Log in Barriers","Clear"))</f>
        <v/>
      </c>
    </row>
    <row r="45">
      <c r="A45" s="18" t="n"/>
      <c r="B45" s="5" t="n"/>
      <c r="C45" s="5" t="n"/>
      <c r="D45" s="5" t="n"/>
      <c r="E45" s="5" t="n"/>
      <c r="F45" s="5" t="n"/>
      <c r="G45" s="11" t="n"/>
      <c r="H45" s="5" t="n"/>
      <c r="I45" s="5" t="n"/>
      <c r="J45">
        <f>IF(F45="","",IF(F45="Blocked","Log in Barriers","Clear"))</f>
        <v/>
      </c>
    </row>
    <row r="46">
      <c r="A46" s="17" t="n"/>
      <c r="B46" s="3" t="n"/>
      <c r="C46" s="3" t="n"/>
      <c r="D46" s="3" t="n"/>
      <c r="E46" s="3" t="n"/>
      <c r="F46" s="3" t="n"/>
      <c r="G46" s="10" t="n"/>
      <c r="H46" s="3" t="n"/>
      <c r="I46" s="3" t="n"/>
      <c r="J46">
        <f>IF(F46="","",IF(F46="Blocked","Log in Barriers","Clear"))</f>
        <v/>
      </c>
    </row>
    <row r="47">
      <c r="A47" s="18" t="n"/>
      <c r="B47" s="5" t="n"/>
      <c r="C47" s="5" t="n"/>
      <c r="D47" s="5" t="n"/>
      <c r="E47" s="5" t="n"/>
      <c r="F47" s="5" t="n"/>
      <c r="G47" s="11" t="n"/>
      <c r="H47" s="5" t="n"/>
      <c r="I47" s="5" t="n"/>
      <c r="J47">
        <f>IF(F47="","",IF(F47="Blocked","Log in Barriers","Clear"))</f>
        <v/>
      </c>
    </row>
    <row r="48">
      <c r="A48" s="17" t="n"/>
      <c r="B48" s="3" t="n"/>
      <c r="C48" s="3" t="n"/>
      <c r="D48" s="3" t="n"/>
      <c r="E48" s="3" t="n"/>
      <c r="F48" s="3" t="n"/>
      <c r="G48" s="10" t="n"/>
      <c r="H48" s="3" t="n"/>
      <c r="I48" s="3" t="n"/>
      <c r="J48">
        <f>IF(F48="","",IF(F48="Blocked","Log in Barriers","Clear"))</f>
        <v/>
      </c>
    </row>
    <row r="49">
      <c r="A49" s="18" t="n"/>
      <c r="B49" s="5" t="n"/>
      <c r="C49" s="5" t="n"/>
      <c r="D49" s="5" t="n"/>
      <c r="E49" s="5" t="n"/>
      <c r="F49" s="5" t="n"/>
      <c r="G49" s="11" t="n"/>
      <c r="H49" s="5" t="n"/>
      <c r="I49" s="5" t="n"/>
      <c r="J49">
        <f>IF(F49="","",IF(F49="Blocked","Log in Barriers","Clear"))</f>
        <v/>
      </c>
    </row>
    <row r="50">
      <c r="A50" s="17" t="n"/>
      <c r="B50" s="3" t="n"/>
      <c r="C50" s="3" t="n"/>
      <c r="D50" s="3" t="n"/>
      <c r="E50" s="3" t="n"/>
      <c r="F50" s="3" t="n"/>
      <c r="G50" s="10" t="n"/>
      <c r="H50" s="3" t="n"/>
      <c r="I50" s="3" t="n"/>
      <c r="J50">
        <f>IF(F50="","",IF(F50="Blocked","Log in Barriers","Clear"))</f>
        <v/>
      </c>
    </row>
    <row r="51">
      <c r="A51" s="18" t="n"/>
      <c r="B51" s="5" t="n"/>
      <c r="C51" s="5" t="n"/>
      <c r="D51" s="5" t="n"/>
      <c r="E51" s="5" t="n"/>
      <c r="F51" s="5" t="n"/>
      <c r="G51" s="11" t="n"/>
      <c r="H51" s="5" t="n"/>
      <c r="I51" s="5" t="n"/>
      <c r="J51">
        <f>IF(F51="","",IF(F51="Blocked","Log in Barriers","Clear"))</f>
        <v/>
      </c>
    </row>
    <row r="53">
      <c r="F53" s="12" t="inlineStr">
        <is>
          <t>Total Minutes:</t>
        </is>
      </c>
      <c r="G53" s="13">
        <f>SUM(G2:G51)</f>
        <v/>
      </c>
    </row>
  </sheetData>
  <autoFilter ref="A1:I1"/>
  <conditionalFormatting sqref="F2:F51">
    <cfRule type="cellIs" priority="1" operator="equal" dxfId="0">
      <formula>"Done"</formula>
    </cfRule>
    <cfRule type="cellIs" priority="2" operator="equal" dxfId="0">
      <formula>"Yes"</formula>
    </cfRule>
    <cfRule type="cellIs" priority="3" operator="equal" dxfId="1">
      <formula>"Blocked"</formula>
    </cfRule>
    <cfRule type="cellIs" priority="4" operator="equal" dxfId="1">
      <formula>"No"</formula>
    </cfRule>
    <cfRule type="cellIs" priority="5" operator="equal" dxfId="2">
      <formula>"Partial"</formula>
    </cfRule>
  </conditionalFormatting>
  <conditionalFormatting sqref="J2:J51">
    <cfRule type="cellIs" priority="6" operator="equal" dxfId="1">
      <formula>"Log in Barriers"</formula>
    </cfRule>
    <cfRule type="cellIs" priority="7" operator="equal" dxfId="0">
      <formula>"Clear"</formula>
    </cfRule>
  </conditionalFormatting>
  <dataValidations count="3">
    <dataValidation sqref="A2:A51" showDropDown="0" showInputMessage="0" showErrorMessage="1" allowBlank="1" errorTitle="Invalid Date" error="Please enter a valid date (MM/DD/YYYY)." type="date" operator="greaterThan">
      <formula1>1900-01-01</formula1>
    </dataValidation>
    <dataValidation sqref="F2:F51" showDropDown="0" showInputMessage="0" showErrorMessage="1" allowBlank="1" errorTitle="Invalid Status" error="Choose Done, Partial, or Blocked." type="list">
      <formula1>"Done,Partial,Blocked"</formula1>
    </dataValidation>
    <dataValidation sqref="G2:G51" showDropDown="0" showInputMessage="0" showErrorMessage="1" allowBlank="1" errorTitle="Invalid Entry" error="Enter a positive whole number for minutes." type="whole" operator="greaterThanOrEqual">
      <formula1>0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30" customWidth="1" min="3" max="3"/>
    <col width="28" customWidth="1" min="4" max="4"/>
    <col width="20" customWidth="1" min="5" max="5"/>
    <col width="28" customWidth="1" min="6" max="6"/>
    <col width="30" customWidth="1" min="7" max="7"/>
    <col width="16" customWidth="1" min="8" max="8"/>
    <col width="28" customWidth="1" min="9" max="9"/>
  </cols>
  <sheetData>
    <row r="1">
      <c r="A1" s="1" t="inlineStr">
        <is>
          <t>Date</t>
        </is>
      </c>
      <c r="B1" s="1" t="inlineStr">
        <is>
          <t>Barrier Type</t>
        </is>
      </c>
      <c r="C1" s="1" t="inlineStr">
        <is>
          <t>Description</t>
        </is>
      </c>
      <c r="D1" s="1" t="inlineStr">
        <is>
          <t>Actions Taken</t>
        </is>
      </c>
      <c r="E1" s="1" t="inlineStr">
        <is>
          <t>Result</t>
        </is>
      </c>
      <c r="F1" s="1" t="inlineStr">
        <is>
          <t>Root Cause</t>
        </is>
      </c>
      <c r="G1" s="1" t="inlineStr">
        <is>
          <t>Next Strategy (If/Then)</t>
        </is>
      </c>
      <c r="H1" s="1" t="inlineStr">
        <is>
          <t>Support Needed</t>
        </is>
      </c>
      <c r="I1" s="1" t="inlineStr">
        <is>
          <t>Follow-up</t>
        </is>
      </c>
    </row>
    <row r="2">
      <c r="A2" s="17" t="n"/>
      <c r="B2" s="3" t="n"/>
      <c r="C2" s="3" t="n"/>
      <c r="D2" s="3" t="n"/>
      <c r="E2" s="3" t="n"/>
      <c r="F2" s="3" t="n"/>
      <c r="G2" s="3" t="n"/>
      <c r="H2" s="3" t="n"/>
      <c r="I2" s="3" t="n"/>
    </row>
    <row r="3">
      <c r="A3" s="18" t="n"/>
      <c r="B3" s="5" t="n"/>
      <c r="C3" s="5" t="n"/>
      <c r="D3" s="5" t="n"/>
      <c r="E3" s="5" t="n"/>
      <c r="F3" s="5" t="n"/>
      <c r="G3" s="5" t="n"/>
      <c r="H3" s="5" t="n"/>
      <c r="I3" s="5" t="n"/>
    </row>
    <row r="4">
      <c r="A4" s="17" t="n"/>
      <c r="B4" s="3" t="n"/>
      <c r="C4" s="3" t="n"/>
      <c r="D4" s="3" t="n"/>
      <c r="E4" s="3" t="n"/>
      <c r="F4" s="3" t="n"/>
      <c r="G4" s="3" t="n"/>
      <c r="H4" s="3" t="n"/>
      <c r="I4" s="3" t="n"/>
    </row>
    <row r="5">
      <c r="A5" s="18" t="n"/>
      <c r="B5" s="5" t="n"/>
      <c r="C5" s="5" t="n"/>
      <c r="D5" s="5" t="n"/>
      <c r="E5" s="5" t="n"/>
      <c r="F5" s="5" t="n"/>
      <c r="G5" s="5" t="n"/>
      <c r="H5" s="5" t="n"/>
      <c r="I5" s="5" t="n"/>
    </row>
    <row r="6">
      <c r="A6" s="17" t="n"/>
      <c r="B6" s="3" t="n"/>
      <c r="C6" s="3" t="n"/>
      <c r="D6" s="3" t="n"/>
      <c r="E6" s="3" t="n"/>
      <c r="F6" s="3" t="n"/>
      <c r="G6" s="3" t="n"/>
      <c r="H6" s="3" t="n"/>
      <c r="I6" s="3" t="n"/>
    </row>
    <row r="7">
      <c r="A7" s="18" t="n"/>
      <c r="B7" s="5" t="n"/>
      <c r="C7" s="5" t="n"/>
      <c r="D7" s="5" t="n"/>
      <c r="E7" s="5" t="n"/>
      <c r="F7" s="5" t="n"/>
      <c r="G7" s="5" t="n"/>
      <c r="H7" s="5" t="n"/>
      <c r="I7" s="5" t="n"/>
    </row>
    <row r="8">
      <c r="A8" s="17" t="n"/>
      <c r="B8" s="3" t="n"/>
      <c r="C8" s="3" t="n"/>
      <c r="D8" s="3" t="n"/>
      <c r="E8" s="3" t="n"/>
      <c r="F8" s="3" t="n"/>
      <c r="G8" s="3" t="n"/>
      <c r="H8" s="3" t="n"/>
      <c r="I8" s="3" t="n"/>
    </row>
    <row r="9">
      <c r="A9" s="18" t="n"/>
      <c r="B9" s="5" t="n"/>
      <c r="C9" s="5" t="n"/>
      <c r="D9" s="5" t="n"/>
      <c r="E9" s="5" t="n"/>
      <c r="F9" s="5" t="n"/>
      <c r="G9" s="5" t="n"/>
      <c r="H9" s="5" t="n"/>
      <c r="I9" s="5" t="n"/>
    </row>
    <row r="10">
      <c r="A10" s="17" t="n"/>
      <c r="B10" s="3" t="n"/>
      <c r="C10" s="3" t="n"/>
      <c r="D10" s="3" t="n"/>
      <c r="E10" s="3" t="n"/>
      <c r="F10" s="3" t="n"/>
      <c r="G10" s="3" t="n"/>
      <c r="H10" s="3" t="n"/>
      <c r="I10" s="3" t="n"/>
    </row>
    <row r="11">
      <c r="A11" s="18" t="n"/>
      <c r="B11" s="5" t="n"/>
      <c r="C11" s="5" t="n"/>
      <c r="D11" s="5" t="n"/>
      <c r="E11" s="5" t="n"/>
      <c r="F11" s="5" t="n"/>
      <c r="G11" s="5" t="n"/>
      <c r="H11" s="5" t="n"/>
      <c r="I11" s="5" t="n"/>
    </row>
    <row r="12">
      <c r="A12" s="17" t="n"/>
      <c r="B12" s="3" t="n"/>
      <c r="C12" s="3" t="n"/>
      <c r="D12" s="3" t="n"/>
      <c r="E12" s="3" t="n"/>
      <c r="F12" s="3" t="n"/>
      <c r="G12" s="3" t="n"/>
      <c r="H12" s="3" t="n"/>
      <c r="I12" s="3" t="n"/>
    </row>
    <row r="13">
      <c r="A13" s="18" t="n"/>
      <c r="B13" s="5" t="n"/>
      <c r="C13" s="5" t="n"/>
      <c r="D13" s="5" t="n"/>
      <c r="E13" s="5" t="n"/>
      <c r="F13" s="5" t="n"/>
      <c r="G13" s="5" t="n"/>
      <c r="H13" s="5" t="n"/>
      <c r="I13" s="5" t="n"/>
    </row>
    <row r="14">
      <c r="A14" s="17" t="n"/>
      <c r="B14" s="3" t="n"/>
      <c r="C14" s="3" t="n"/>
      <c r="D14" s="3" t="n"/>
      <c r="E14" s="3" t="n"/>
      <c r="F14" s="3" t="n"/>
      <c r="G14" s="3" t="n"/>
      <c r="H14" s="3" t="n"/>
      <c r="I14" s="3" t="n"/>
    </row>
    <row r="15">
      <c r="A15" s="18" t="n"/>
      <c r="B15" s="5" t="n"/>
      <c r="C15" s="5" t="n"/>
      <c r="D15" s="5" t="n"/>
      <c r="E15" s="5" t="n"/>
      <c r="F15" s="5" t="n"/>
      <c r="G15" s="5" t="n"/>
      <c r="H15" s="5" t="n"/>
      <c r="I15" s="5" t="n"/>
    </row>
    <row r="16">
      <c r="A16" s="17" t="n"/>
      <c r="B16" s="3" t="n"/>
      <c r="C16" s="3" t="n"/>
      <c r="D16" s="3" t="n"/>
      <c r="E16" s="3" t="n"/>
      <c r="F16" s="3" t="n"/>
      <c r="G16" s="3" t="n"/>
      <c r="H16" s="3" t="n"/>
      <c r="I16" s="3" t="n"/>
    </row>
    <row r="17">
      <c r="A17" s="18" t="n"/>
      <c r="B17" s="5" t="n"/>
      <c r="C17" s="5" t="n"/>
      <c r="D17" s="5" t="n"/>
      <c r="E17" s="5" t="n"/>
      <c r="F17" s="5" t="n"/>
      <c r="G17" s="5" t="n"/>
      <c r="H17" s="5" t="n"/>
      <c r="I17" s="5" t="n"/>
    </row>
    <row r="18">
      <c r="A18" s="17" t="n"/>
      <c r="B18" s="3" t="n"/>
      <c r="C18" s="3" t="n"/>
      <c r="D18" s="3" t="n"/>
      <c r="E18" s="3" t="n"/>
      <c r="F18" s="3" t="n"/>
      <c r="G18" s="3" t="n"/>
      <c r="H18" s="3" t="n"/>
      <c r="I18" s="3" t="n"/>
    </row>
    <row r="19">
      <c r="A19" s="18" t="n"/>
      <c r="B19" s="5" t="n"/>
      <c r="C19" s="5" t="n"/>
      <c r="D19" s="5" t="n"/>
      <c r="E19" s="5" t="n"/>
      <c r="F19" s="5" t="n"/>
      <c r="G19" s="5" t="n"/>
      <c r="H19" s="5" t="n"/>
      <c r="I19" s="5" t="n"/>
    </row>
    <row r="20">
      <c r="A20" s="17" t="n"/>
      <c r="B20" s="3" t="n"/>
      <c r="C20" s="3" t="n"/>
      <c r="D20" s="3" t="n"/>
      <c r="E20" s="3" t="n"/>
      <c r="F20" s="3" t="n"/>
      <c r="G20" s="3" t="n"/>
      <c r="H20" s="3" t="n"/>
      <c r="I20" s="3" t="n"/>
    </row>
    <row r="21">
      <c r="A21" s="18" t="n"/>
      <c r="B21" s="5" t="n"/>
      <c r="C21" s="5" t="n"/>
      <c r="D21" s="5" t="n"/>
      <c r="E21" s="5" t="n"/>
      <c r="F21" s="5" t="n"/>
      <c r="G21" s="5" t="n"/>
      <c r="H21" s="5" t="n"/>
      <c r="I21" s="5" t="n"/>
    </row>
    <row r="22">
      <c r="A22" s="17" t="n"/>
      <c r="B22" s="3" t="n"/>
      <c r="C22" s="3" t="n"/>
      <c r="D22" s="3" t="n"/>
      <c r="E22" s="3" t="n"/>
      <c r="F22" s="3" t="n"/>
      <c r="G22" s="3" t="n"/>
      <c r="H22" s="3" t="n"/>
      <c r="I22" s="3" t="n"/>
    </row>
    <row r="23">
      <c r="A23" s="18" t="n"/>
      <c r="B23" s="5" t="n"/>
      <c r="C23" s="5" t="n"/>
      <c r="D23" s="5" t="n"/>
      <c r="E23" s="5" t="n"/>
      <c r="F23" s="5" t="n"/>
      <c r="G23" s="5" t="n"/>
      <c r="H23" s="5" t="n"/>
      <c r="I23" s="5" t="n"/>
    </row>
    <row r="24">
      <c r="A24" s="17" t="n"/>
      <c r="B24" s="3" t="n"/>
      <c r="C24" s="3" t="n"/>
      <c r="D24" s="3" t="n"/>
      <c r="E24" s="3" t="n"/>
      <c r="F24" s="3" t="n"/>
      <c r="G24" s="3" t="n"/>
      <c r="H24" s="3" t="n"/>
      <c r="I24" s="3" t="n"/>
    </row>
    <row r="25">
      <c r="A25" s="18" t="n"/>
      <c r="B25" s="5" t="n"/>
      <c r="C25" s="5" t="n"/>
      <c r="D25" s="5" t="n"/>
      <c r="E25" s="5" t="n"/>
      <c r="F25" s="5" t="n"/>
      <c r="G25" s="5" t="n"/>
      <c r="H25" s="5" t="n"/>
      <c r="I25" s="5" t="n"/>
    </row>
    <row r="26">
      <c r="A26" s="17" t="n"/>
      <c r="B26" s="3" t="n"/>
      <c r="C26" s="3" t="n"/>
      <c r="D26" s="3" t="n"/>
      <c r="E26" s="3" t="n"/>
      <c r="F26" s="3" t="n"/>
      <c r="G26" s="3" t="n"/>
      <c r="H26" s="3" t="n"/>
      <c r="I26" s="3" t="n"/>
    </row>
    <row r="27">
      <c r="A27" s="18" t="n"/>
      <c r="B27" s="5" t="n"/>
      <c r="C27" s="5" t="n"/>
      <c r="D27" s="5" t="n"/>
      <c r="E27" s="5" t="n"/>
      <c r="F27" s="5" t="n"/>
      <c r="G27" s="5" t="n"/>
      <c r="H27" s="5" t="n"/>
      <c r="I27" s="5" t="n"/>
    </row>
    <row r="28">
      <c r="A28" s="17" t="n"/>
      <c r="B28" s="3" t="n"/>
      <c r="C28" s="3" t="n"/>
      <c r="D28" s="3" t="n"/>
      <c r="E28" s="3" t="n"/>
      <c r="F28" s="3" t="n"/>
      <c r="G28" s="3" t="n"/>
      <c r="H28" s="3" t="n"/>
      <c r="I28" s="3" t="n"/>
    </row>
    <row r="29">
      <c r="A29" s="18" t="n"/>
      <c r="B29" s="5" t="n"/>
      <c r="C29" s="5" t="n"/>
      <c r="D29" s="5" t="n"/>
      <c r="E29" s="5" t="n"/>
      <c r="F29" s="5" t="n"/>
      <c r="G29" s="5" t="n"/>
      <c r="H29" s="5" t="n"/>
      <c r="I29" s="5" t="n"/>
    </row>
    <row r="30">
      <c r="A30" s="17" t="n"/>
      <c r="B30" s="3" t="n"/>
      <c r="C30" s="3" t="n"/>
      <c r="D30" s="3" t="n"/>
      <c r="E30" s="3" t="n"/>
      <c r="F30" s="3" t="n"/>
      <c r="G30" s="3" t="n"/>
      <c r="H30" s="3" t="n"/>
      <c r="I30" s="3" t="n"/>
    </row>
    <row r="31">
      <c r="A31" s="18" t="n"/>
      <c r="B31" s="5" t="n"/>
      <c r="C31" s="5" t="n"/>
      <c r="D31" s="5" t="n"/>
      <c r="E31" s="5" t="n"/>
      <c r="F31" s="5" t="n"/>
      <c r="G31" s="5" t="n"/>
      <c r="H31" s="5" t="n"/>
      <c r="I31" s="5" t="n"/>
    </row>
    <row r="32">
      <c r="A32" s="17" t="n"/>
      <c r="B32" s="3" t="n"/>
      <c r="C32" s="3" t="n"/>
      <c r="D32" s="3" t="n"/>
      <c r="E32" s="3" t="n"/>
      <c r="F32" s="3" t="n"/>
      <c r="G32" s="3" t="n"/>
      <c r="H32" s="3" t="n"/>
      <c r="I32" s="3" t="n"/>
    </row>
    <row r="33">
      <c r="A33" s="18" t="n"/>
      <c r="B33" s="5" t="n"/>
      <c r="C33" s="5" t="n"/>
      <c r="D33" s="5" t="n"/>
      <c r="E33" s="5" t="n"/>
      <c r="F33" s="5" t="n"/>
      <c r="G33" s="5" t="n"/>
      <c r="H33" s="5" t="n"/>
      <c r="I33" s="5" t="n"/>
    </row>
    <row r="34">
      <c r="A34" s="17" t="n"/>
      <c r="B34" s="3" t="n"/>
      <c r="C34" s="3" t="n"/>
      <c r="D34" s="3" t="n"/>
      <c r="E34" s="3" t="n"/>
      <c r="F34" s="3" t="n"/>
      <c r="G34" s="3" t="n"/>
      <c r="H34" s="3" t="n"/>
      <c r="I34" s="3" t="n"/>
    </row>
    <row r="35">
      <c r="A35" s="18" t="n"/>
      <c r="B35" s="5" t="n"/>
      <c r="C35" s="5" t="n"/>
      <c r="D35" s="5" t="n"/>
      <c r="E35" s="5" t="n"/>
      <c r="F35" s="5" t="n"/>
      <c r="G35" s="5" t="n"/>
      <c r="H35" s="5" t="n"/>
      <c r="I35" s="5" t="n"/>
    </row>
    <row r="36">
      <c r="A36" s="17" t="n"/>
      <c r="B36" s="3" t="n"/>
      <c r="C36" s="3" t="n"/>
      <c r="D36" s="3" t="n"/>
      <c r="E36" s="3" t="n"/>
      <c r="F36" s="3" t="n"/>
      <c r="G36" s="3" t="n"/>
      <c r="H36" s="3" t="n"/>
      <c r="I36" s="3" t="n"/>
    </row>
    <row r="37">
      <c r="A37" s="18" t="n"/>
      <c r="B37" s="5" t="n"/>
      <c r="C37" s="5" t="n"/>
      <c r="D37" s="5" t="n"/>
      <c r="E37" s="5" t="n"/>
      <c r="F37" s="5" t="n"/>
      <c r="G37" s="5" t="n"/>
      <c r="H37" s="5" t="n"/>
      <c r="I37" s="5" t="n"/>
    </row>
    <row r="38">
      <c r="A38" s="17" t="n"/>
      <c r="B38" s="3" t="n"/>
      <c r="C38" s="3" t="n"/>
      <c r="D38" s="3" t="n"/>
      <c r="E38" s="3" t="n"/>
      <c r="F38" s="3" t="n"/>
      <c r="G38" s="3" t="n"/>
      <c r="H38" s="3" t="n"/>
      <c r="I38" s="3" t="n"/>
    </row>
    <row r="39">
      <c r="A39" s="18" t="n"/>
      <c r="B39" s="5" t="n"/>
      <c r="C39" s="5" t="n"/>
      <c r="D39" s="5" t="n"/>
      <c r="E39" s="5" t="n"/>
      <c r="F39" s="5" t="n"/>
      <c r="G39" s="5" t="n"/>
      <c r="H39" s="5" t="n"/>
      <c r="I39" s="5" t="n"/>
    </row>
    <row r="40">
      <c r="A40" s="17" t="n"/>
      <c r="B40" s="3" t="n"/>
      <c r="C40" s="3" t="n"/>
      <c r="D40" s="3" t="n"/>
      <c r="E40" s="3" t="n"/>
      <c r="F40" s="3" t="n"/>
      <c r="G40" s="3" t="n"/>
      <c r="H40" s="3" t="n"/>
      <c r="I40" s="3" t="n"/>
    </row>
    <row r="41">
      <c r="A41" s="18" t="n"/>
      <c r="B41" s="5" t="n"/>
      <c r="C41" s="5" t="n"/>
      <c r="D41" s="5" t="n"/>
      <c r="E41" s="5" t="n"/>
      <c r="F41" s="5" t="n"/>
      <c r="G41" s="5" t="n"/>
      <c r="H41" s="5" t="n"/>
      <c r="I41" s="5" t="n"/>
    </row>
    <row r="42">
      <c r="A42" s="17" t="n"/>
      <c r="B42" s="3" t="n"/>
      <c r="C42" s="3" t="n"/>
      <c r="D42" s="3" t="n"/>
      <c r="E42" s="3" t="n"/>
      <c r="F42" s="3" t="n"/>
      <c r="G42" s="3" t="n"/>
      <c r="H42" s="3" t="n"/>
      <c r="I42" s="3" t="n"/>
    </row>
    <row r="43">
      <c r="A43" s="18" t="n"/>
      <c r="B43" s="5" t="n"/>
      <c r="C43" s="5" t="n"/>
      <c r="D43" s="5" t="n"/>
      <c r="E43" s="5" t="n"/>
      <c r="F43" s="5" t="n"/>
      <c r="G43" s="5" t="n"/>
      <c r="H43" s="5" t="n"/>
      <c r="I43" s="5" t="n"/>
    </row>
    <row r="44">
      <c r="A44" s="17" t="n"/>
      <c r="B44" s="3" t="n"/>
      <c r="C44" s="3" t="n"/>
      <c r="D44" s="3" t="n"/>
      <c r="E44" s="3" t="n"/>
      <c r="F44" s="3" t="n"/>
      <c r="G44" s="3" t="n"/>
      <c r="H44" s="3" t="n"/>
      <c r="I44" s="3" t="n"/>
    </row>
    <row r="45">
      <c r="A45" s="18" t="n"/>
      <c r="B45" s="5" t="n"/>
      <c r="C45" s="5" t="n"/>
      <c r="D45" s="5" t="n"/>
      <c r="E45" s="5" t="n"/>
      <c r="F45" s="5" t="n"/>
      <c r="G45" s="5" t="n"/>
      <c r="H45" s="5" t="n"/>
      <c r="I45" s="5" t="n"/>
    </row>
    <row r="46">
      <c r="A46" s="17" t="n"/>
      <c r="B46" s="3" t="n"/>
      <c r="C46" s="3" t="n"/>
      <c r="D46" s="3" t="n"/>
      <c r="E46" s="3" t="n"/>
      <c r="F46" s="3" t="n"/>
      <c r="G46" s="3" t="n"/>
      <c r="H46" s="3" t="n"/>
      <c r="I46" s="3" t="n"/>
    </row>
    <row r="47">
      <c r="A47" s="18" t="n"/>
      <c r="B47" s="5" t="n"/>
      <c r="C47" s="5" t="n"/>
      <c r="D47" s="5" t="n"/>
      <c r="E47" s="5" t="n"/>
      <c r="F47" s="5" t="n"/>
      <c r="G47" s="5" t="n"/>
      <c r="H47" s="5" t="n"/>
      <c r="I47" s="5" t="n"/>
    </row>
    <row r="48">
      <c r="A48" s="17" t="n"/>
      <c r="B48" s="3" t="n"/>
      <c r="C48" s="3" t="n"/>
      <c r="D48" s="3" t="n"/>
      <c r="E48" s="3" t="n"/>
      <c r="F48" s="3" t="n"/>
      <c r="G48" s="3" t="n"/>
      <c r="H48" s="3" t="n"/>
      <c r="I48" s="3" t="n"/>
    </row>
    <row r="49">
      <c r="A49" s="18" t="n"/>
      <c r="B49" s="5" t="n"/>
      <c r="C49" s="5" t="n"/>
      <c r="D49" s="5" t="n"/>
      <c r="E49" s="5" t="n"/>
      <c r="F49" s="5" t="n"/>
      <c r="G49" s="5" t="n"/>
      <c r="H49" s="5" t="n"/>
      <c r="I49" s="5" t="n"/>
    </row>
    <row r="50">
      <c r="A50" s="17" t="n"/>
      <c r="B50" s="3" t="n"/>
      <c r="C50" s="3" t="n"/>
      <c r="D50" s="3" t="n"/>
      <c r="E50" s="3" t="n"/>
      <c r="F50" s="3" t="n"/>
      <c r="G50" s="3" t="n"/>
      <c r="H50" s="3" t="n"/>
      <c r="I50" s="3" t="n"/>
    </row>
    <row r="51">
      <c r="A51" s="18" t="n"/>
      <c r="B51" s="5" t="n"/>
      <c r="C51" s="5" t="n"/>
      <c r="D51" s="5" t="n"/>
      <c r="E51" s="5" t="n"/>
      <c r="F51" s="5" t="n"/>
      <c r="G51" s="5" t="n"/>
      <c r="H51" s="5" t="n"/>
      <c r="I51" s="5" t="n"/>
    </row>
  </sheetData>
  <autoFilter ref="A1:I1"/>
  <conditionalFormatting sqref="H2:H51">
    <cfRule type="cellIs" priority="1" operator="equal" dxfId="0">
      <formula>"Done"</formula>
    </cfRule>
    <cfRule type="cellIs" priority="2" operator="equal" dxfId="0">
      <formula>"Yes"</formula>
    </cfRule>
    <cfRule type="cellIs" priority="3" operator="equal" dxfId="1">
      <formula>"Blocked"</formula>
    </cfRule>
    <cfRule type="cellIs" priority="4" operator="equal" dxfId="1">
      <formula>"No"</formula>
    </cfRule>
    <cfRule type="cellIs" priority="5" operator="equal" dxfId="2">
      <formula>"Partial"</formula>
    </cfRule>
  </conditionalFormatting>
  <dataValidations count="3">
    <dataValidation sqref="A2:A51" showDropDown="0" showInputMessage="0" showErrorMessage="1" allowBlank="1" errorTitle="Invalid Date" error="Please enter a valid date (MM/DD/YYYY)." type="date" operator="greaterThan">
      <formula1>1900-01-01</formula1>
    </dataValidation>
    <dataValidation sqref="B2:B51" showDropDown="0" showInputMessage="0" showErrorMessage="1" allowBlank="1" errorTitle="Invalid Type" error="Choose a barrier type from the list." type="list">
      <formula1>"Time,Transportation,Childcare,Motivation,Tech,Health,Conflict,Other"</formula1>
    </dataValidation>
    <dataValidation sqref="H2:H51" showDropDown="0" showInputMessage="0" showErrorMessage="1" allowBlank="1" errorTitle="Invalid" error="Choose Yes or No." type="list">
      <formula1>"Yes,No"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6" customWidth="1" min="2" max="2"/>
    <col width="32" customWidth="1" min="3" max="3"/>
    <col width="24" customWidth="1" min="4" max="4"/>
    <col width="28" customWidth="1" min="5" max="5"/>
    <col width="28" customWidth="1" min="6" max="6"/>
  </cols>
  <sheetData>
    <row r="1">
      <c r="A1" s="1" t="inlineStr">
        <is>
          <t>Artifact Name</t>
        </is>
      </c>
      <c r="B1" s="1" t="inlineStr">
        <is>
          <t>Date Created</t>
        </is>
      </c>
      <c r="C1" s="1" t="inlineStr">
        <is>
          <t>File Link</t>
        </is>
      </c>
      <c r="D1" s="1" t="inlineStr">
        <is>
          <t>Skill Demonstrated</t>
        </is>
      </c>
      <c r="E1" s="1" t="inlineStr">
        <is>
          <t>Feedback</t>
        </is>
      </c>
      <c r="F1" s="1" t="inlineStr">
        <is>
          <t>Next Improvement Step</t>
        </is>
      </c>
    </row>
    <row r="2">
      <c r="A2" s="3" t="n"/>
      <c r="B2" s="17" t="n"/>
      <c r="C2" s="3" t="n"/>
      <c r="D2" s="3" t="n"/>
      <c r="E2" s="3" t="n"/>
      <c r="F2" s="3" t="n"/>
    </row>
    <row r="3">
      <c r="A3" s="5" t="n"/>
      <c r="B3" s="18" t="n"/>
      <c r="C3" s="5" t="n"/>
      <c r="D3" s="5" t="n"/>
      <c r="E3" s="5" t="n"/>
      <c r="F3" s="5" t="n"/>
    </row>
    <row r="4">
      <c r="A4" s="3" t="n"/>
      <c r="B4" s="17" t="n"/>
      <c r="C4" s="3" t="n"/>
      <c r="D4" s="3" t="n"/>
      <c r="E4" s="3" t="n"/>
      <c r="F4" s="3" t="n"/>
    </row>
    <row r="5">
      <c r="A5" s="5" t="n"/>
      <c r="B5" s="18" t="n"/>
      <c r="C5" s="5" t="n"/>
      <c r="D5" s="5" t="n"/>
      <c r="E5" s="5" t="n"/>
      <c r="F5" s="5" t="n"/>
    </row>
    <row r="6">
      <c r="A6" s="3" t="n"/>
      <c r="B6" s="17" t="n"/>
      <c r="C6" s="3" t="n"/>
      <c r="D6" s="3" t="n"/>
      <c r="E6" s="3" t="n"/>
      <c r="F6" s="3" t="n"/>
    </row>
    <row r="7">
      <c r="A7" s="5" t="n"/>
      <c r="B7" s="18" t="n"/>
      <c r="C7" s="5" t="n"/>
      <c r="D7" s="5" t="n"/>
      <c r="E7" s="5" t="n"/>
      <c r="F7" s="5" t="n"/>
    </row>
    <row r="8">
      <c r="A8" s="3" t="n"/>
      <c r="B8" s="17" t="n"/>
      <c r="C8" s="3" t="n"/>
      <c r="D8" s="3" t="n"/>
      <c r="E8" s="3" t="n"/>
      <c r="F8" s="3" t="n"/>
    </row>
    <row r="9">
      <c r="A9" s="5" t="n"/>
      <c r="B9" s="18" t="n"/>
      <c r="C9" s="5" t="n"/>
      <c r="D9" s="5" t="n"/>
      <c r="E9" s="5" t="n"/>
      <c r="F9" s="5" t="n"/>
    </row>
    <row r="10">
      <c r="A10" s="3" t="n"/>
      <c r="B10" s="17" t="n"/>
      <c r="C10" s="3" t="n"/>
      <c r="D10" s="3" t="n"/>
      <c r="E10" s="3" t="n"/>
      <c r="F10" s="3" t="n"/>
    </row>
    <row r="11">
      <c r="A11" s="5" t="n"/>
      <c r="B11" s="18" t="n"/>
      <c r="C11" s="5" t="n"/>
      <c r="D11" s="5" t="n"/>
      <c r="E11" s="5" t="n"/>
      <c r="F11" s="5" t="n"/>
    </row>
    <row r="12">
      <c r="A12" s="3" t="n"/>
      <c r="B12" s="17" t="n"/>
      <c r="C12" s="3" t="n"/>
      <c r="D12" s="3" t="n"/>
      <c r="E12" s="3" t="n"/>
      <c r="F12" s="3" t="n"/>
    </row>
    <row r="13">
      <c r="A13" s="5" t="n"/>
      <c r="B13" s="18" t="n"/>
      <c r="C13" s="5" t="n"/>
      <c r="D13" s="5" t="n"/>
      <c r="E13" s="5" t="n"/>
      <c r="F13" s="5" t="n"/>
    </row>
    <row r="14">
      <c r="A14" s="3" t="n"/>
      <c r="B14" s="17" t="n"/>
      <c r="C14" s="3" t="n"/>
      <c r="D14" s="3" t="n"/>
      <c r="E14" s="3" t="n"/>
      <c r="F14" s="3" t="n"/>
    </row>
    <row r="15">
      <c r="A15" s="5" t="n"/>
      <c r="B15" s="18" t="n"/>
      <c r="C15" s="5" t="n"/>
      <c r="D15" s="5" t="n"/>
      <c r="E15" s="5" t="n"/>
      <c r="F15" s="5" t="n"/>
    </row>
    <row r="16">
      <c r="A16" s="3" t="n"/>
      <c r="B16" s="17" t="n"/>
      <c r="C16" s="3" t="n"/>
      <c r="D16" s="3" t="n"/>
      <c r="E16" s="3" t="n"/>
      <c r="F16" s="3" t="n"/>
    </row>
    <row r="17">
      <c r="A17" s="5" t="n"/>
      <c r="B17" s="18" t="n"/>
      <c r="C17" s="5" t="n"/>
      <c r="D17" s="5" t="n"/>
      <c r="E17" s="5" t="n"/>
      <c r="F17" s="5" t="n"/>
    </row>
    <row r="18">
      <c r="A18" s="3" t="n"/>
      <c r="B18" s="17" t="n"/>
      <c r="C18" s="3" t="n"/>
      <c r="D18" s="3" t="n"/>
      <c r="E18" s="3" t="n"/>
      <c r="F18" s="3" t="n"/>
    </row>
    <row r="19">
      <c r="A19" s="5" t="n"/>
      <c r="B19" s="18" t="n"/>
      <c r="C19" s="5" t="n"/>
      <c r="D19" s="5" t="n"/>
      <c r="E19" s="5" t="n"/>
      <c r="F19" s="5" t="n"/>
    </row>
    <row r="20">
      <c r="A20" s="3" t="n"/>
      <c r="B20" s="17" t="n"/>
      <c r="C20" s="3" t="n"/>
      <c r="D20" s="3" t="n"/>
      <c r="E20" s="3" t="n"/>
      <c r="F20" s="3" t="n"/>
    </row>
    <row r="21">
      <c r="A21" s="5" t="n"/>
      <c r="B21" s="18" t="n"/>
      <c r="C21" s="5" t="n"/>
      <c r="D21" s="5" t="n"/>
      <c r="E21" s="5" t="n"/>
      <c r="F21" s="5" t="n"/>
    </row>
    <row r="22">
      <c r="A22" s="3" t="n"/>
      <c r="B22" s="17" t="n"/>
      <c r="C22" s="3" t="n"/>
      <c r="D22" s="3" t="n"/>
      <c r="E22" s="3" t="n"/>
      <c r="F22" s="3" t="n"/>
    </row>
    <row r="23">
      <c r="A23" s="5" t="n"/>
      <c r="B23" s="18" t="n"/>
      <c r="C23" s="5" t="n"/>
      <c r="D23" s="5" t="n"/>
      <c r="E23" s="5" t="n"/>
      <c r="F23" s="5" t="n"/>
    </row>
    <row r="24">
      <c r="A24" s="3" t="n"/>
      <c r="B24" s="17" t="n"/>
      <c r="C24" s="3" t="n"/>
      <c r="D24" s="3" t="n"/>
      <c r="E24" s="3" t="n"/>
      <c r="F24" s="3" t="n"/>
    </row>
    <row r="25">
      <c r="A25" s="5" t="n"/>
      <c r="B25" s="18" t="n"/>
      <c r="C25" s="5" t="n"/>
      <c r="D25" s="5" t="n"/>
      <c r="E25" s="5" t="n"/>
      <c r="F25" s="5" t="n"/>
    </row>
    <row r="26">
      <c r="A26" s="3" t="n"/>
      <c r="B26" s="17" t="n"/>
      <c r="C26" s="3" t="n"/>
      <c r="D26" s="3" t="n"/>
      <c r="E26" s="3" t="n"/>
      <c r="F26" s="3" t="n"/>
    </row>
    <row r="27">
      <c r="A27" s="5" t="n"/>
      <c r="B27" s="18" t="n"/>
      <c r="C27" s="5" t="n"/>
      <c r="D27" s="5" t="n"/>
      <c r="E27" s="5" t="n"/>
      <c r="F27" s="5" t="n"/>
    </row>
    <row r="28">
      <c r="A28" s="3" t="n"/>
      <c r="B28" s="17" t="n"/>
      <c r="C28" s="3" t="n"/>
      <c r="D28" s="3" t="n"/>
      <c r="E28" s="3" t="n"/>
      <c r="F28" s="3" t="n"/>
    </row>
    <row r="29">
      <c r="A29" s="5" t="n"/>
      <c r="B29" s="18" t="n"/>
      <c r="C29" s="5" t="n"/>
      <c r="D29" s="5" t="n"/>
      <c r="E29" s="5" t="n"/>
      <c r="F29" s="5" t="n"/>
    </row>
    <row r="30">
      <c r="A30" s="3" t="n"/>
      <c r="B30" s="17" t="n"/>
      <c r="C30" s="3" t="n"/>
      <c r="D30" s="3" t="n"/>
      <c r="E30" s="3" t="n"/>
      <c r="F30" s="3" t="n"/>
    </row>
    <row r="31">
      <c r="A31" s="5" t="n"/>
      <c r="B31" s="18" t="n"/>
      <c r="C31" s="5" t="n"/>
      <c r="D31" s="5" t="n"/>
      <c r="E31" s="5" t="n"/>
      <c r="F31" s="5" t="n"/>
    </row>
    <row r="32">
      <c r="A32" s="3" t="n"/>
      <c r="B32" s="17" t="n"/>
      <c r="C32" s="3" t="n"/>
      <c r="D32" s="3" t="n"/>
      <c r="E32" s="3" t="n"/>
      <c r="F32" s="3" t="n"/>
    </row>
    <row r="33">
      <c r="A33" s="5" t="n"/>
      <c r="B33" s="18" t="n"/>
      <c r="C33" s="5" t="n"/>
      <c r="D33" s="5" t="n"/>
      <c r="E33" s="5" t="n"/>
      <c r="F33" s="5" t="n"/>
    </row>
    <row r="34">
      <c r="A34" s="3" t="n"/>
      <c r="B34" s="17" t="n"/>
      <c r="C34" s="3" t="n"/>
      <c r="D34" s="3" t="n"/>
      <c r="E34" s="3" t="n"/>
      <c r="F34" s="3" t="n"/>
    </row>
    <row r="35">
      <c r="A35" s="5" t="n"/>
      <c r="B35" s="18" t="n"/>
      <c r="C35" s="5" t="n"/>
      <c r="D35" s="5" t="n"/>
      <c r="E35" s="5" t="n"/>
      <c r="F35" s="5" t="n"/>
    </row>
    <row r="36">
      <c r="A36" s="3" t="n"/>
      <c r="B36" s="17" t="n"/>
      <c r="C36" s="3" t="n"/>
      <c r="D36" s="3" t="n"/>
      <c r="E36" s="3" t="n"/>
      <c r="F36" s="3" t="n"/>
    </row>
    <row r="37">
      <c r="A37" s="5" t="n"/>
      <c r="B37" s="18" t="n"/>
      <c r="C37" s="5" t="n"/>
      <c r="D37" s="5" t="n"/>
      <c r="E37" s="5" t="n"/>
      <c r="F37" s="5" t="n"/>
    </row>
    <row r="38">
      <c r="A38" s="3" t="n"/>
      <c r="B38" s="17" t="n"/>
      <c r="C38" s="3" t="n"/>
      <c r="D38" s="3" t="n"/>
      <c r="E38" s="3" t="n"/>
      <c r="F38" s="3" t="n"/>
    </row>
    <row r="39">
      <c r="A39" s="5" t="n"/>
      <c r="B39" s="18" t="n"/>
      <c r="C39" s="5" t="n"/>
      <c r="D39" s="5" t="n"/>
      <c r="E39" s="5" t="n"/>
      <c r="F39" s="5" t="n"/>
    </row>
    <row r="40">
      <c r="A40" s="3" t="n"/>
      <c r="B40" s="17" t="n"/>
      <c r="C40" s="3" t="n"/>
      <c r="D40" s="3" t="n"/>
      <c r="E40" s="3" t="n"/>
      <c r="F40" s="3" t="n"/>
    </row>
    <row r="41">
      <c r="A41" s="5" t="n"/>
      <c r="B41" s="18" t="n"/>
      <c r="C41" s="5" t="n"/>
      <c r="D41" s="5" t="n"/>
      <c r="E41" s="5" t="n"/>
      <c r="F41" s="5" t="n"/>
    </row>
    <row r="42">
      <c r="A42" s="3" t="n"/>
      <c r="B42" s="17" t="n"/>
      <c r="C42" s="3" t="n"/>
      <c r="D42" s="3" t="n"/>
      <c r="E42" s="3" t="n"/>
      <c r="F42" s="3" t="n"/>
    </row>
    <row r="43">
      <c r="A43" s="5" t="n"/>
      <c r="B43" s="18" t="n"/>
      <c r="C43" s="5" t="n"/>
      <c r="D43" s="5" t="n"/>
      <c r="E43" s="5" t="n"/>
      <c r="F43" s="5" t="n"/>
    </row>
    <row r="44">
      <c r="A44" s="3" t="n"/>
      <c r="B44" s="17" t="n"/>
      <c r="C44" s="3" t="n"/>
      <c r="D44" s="3" t="n"/>
      <c r="E44" s="3" t="n"/>
      <c r="F44" s="3" t="n"/>
    </row>
    <row r="45">
      <c r="A45" s="5" t="n"/>
      <c r="B45" s="18" t="n"/>
      <c r="C45" s="5" t="n"/>
      <c r="D45" s="5" t="n"/>
      <c r="E45" s="5" t="n"/>
      <c r="F45" s="5" t="n"/>
    </row>
    <row r="46">
      <c r="A46" s="3" t="n"/>
      <c r="B46" s="17" t="n"/>
      <c r="C46" s="3" t="n"/>
      <c r="D46" s="3" t="n"/>
      <c r="E46" s="3" t="n"/>
      <c r="F46" s="3" t="n"/>
    </row>
    <row r="47">
      <c r="A47" s="5" t="n"/>
      <c r="B47" s="18" t="n"/>
      <c r="C47" s="5" t="n"/>
      <c r="D47" s="5" t="n"/>
      <c r="E47" s="5" t="n"/>
      <c r="F47" s="5" t="n"/>
    </row>
    <row r="48">
      <c r="A48" s="3" t="n"/>
      <c r="B48" s="17" t="n"/>
      <c r="C48" s="3" t="n"/>
      <c r="D48" s="3" t="n"/>
      <c r="E48" s="3" t="n"/>
      <c r="F48" s="3" t="n"/>
    </row>
    <row r="49">
      <c r="A49" s="5" t="n"/>
      <c r="B49" s="18" t="n"/>
      <c r="C49" s="5" t="n"/>
      <c r="D49" s="5" t="n"/>
      <c r="E49" s="5" t="n"/>
      <c r="F49" s="5" t="n"/>
    </row>
    <row r="50">
      <c r="A50" s="3" t="n"/>
      <c r="B50" s="17" t="n"/>
      <c r="C50" s="3" t="n"/>
      <c r="D50" s="3" t="n"/>
      <c r="E50" s="3" t="n"/>
      <c r="F50" s="3" t="n"/>
    </row>
    <row r="51">
      <c r="A51" s="5" t="n"/>
      <c r="B51" s="18" t="n"/>
      <c r="C51" s="5" t="n"/>
      <c r="D51" s="5" t="n"/>
      <c r="E51" s="5" t="n"/>
      <c r="F51" s="5" t="n"/>
    </row>
  </sheetData>
  <autoFilter ref="A1:F1"/>
  <dataValidations count="1">
    <dataValidation sqref="B2:B51" showDropDown="0" showInputMessage="0" showErrorMessage="1" allowBlank="1" errorTitle="Invalid Date" error="Please enter a valid date (MM/DD/YYYY)." type="date" operator="greaterThan">
      <formula1>1900-01-01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4" customWidth="1" min="2" max="2"/>
    <col width="32" customWidth="1" min="3" max="3"/>
    <col width="4" customWidth="1" min="4" max="4"/>
    <col width="32" customWidth="1" min="5" max="5"/>
  </cols>
  <sheetData>
    <row r="1">
      <c r="A1" s="19" t="inlineStr">
        <is>
          <t>TO-DO</t>
        </is>
      </c>
      <c r="C1" s="19" t="inlineStr">
        <is>
          <t>IN-PROGRESS</t>
        </is>
      </c>
      <c r="E1" s="19" t="inlineStr">
        <is>
          <t>DONE</t>
        </is>
      </c>
    </row>
    <row r="2">
      <c r="A2">
        <f>IFERROR(FILTER('Daily Log'!C2:C51,'Daily Log'!F2:F51=""),"")</f>
        <v/>
      </c>
      <c r="C2">
        <f>IFERROR(FILTER('Daily Log'!C2:C51,'Daily Log'!F2:F51="Partial"),"")</f>
        <v/>
      </c>
      <c r="E2">
        <f>IFERROR(FILTER('Daily Log'!C2:C51,'Daily Log'!F2:F51="Done"),"")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2026-03-02T13:36:04Z</dcterms:created>
  <dcterms:modified xmlns:dcterms="http://purl.org/dc/terms/" xmlns:xsi="http://www.w3.org/2001/XMLSchema-instance" xsi:type="dcterms:W3CDTF">2026-03-02T13:57:01Z</dcterms:modified>
</cp:coreProperties>
</file>